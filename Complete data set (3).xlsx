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y Info" sheetId="1" r:id="rId5"/>
    <sheet state="visible" name="Protocol" sheetId="2" r:id="rId6"/>
    <sheet state="visible" name="Tables Source" sheetId="3" r:id="rId7"/>
    <sheet state="visible" name="Variables" sheetId="4" r:id="rId8"/>
    <sheet state="visible" name="Points" sheetId="5" r:id="rId9"/>
    <sheet state="visible" name="Soil type" sheetId="6" r:id="rId10"/>
    <sheet state="visible" name="Ownership" sheetId="7" r:id="rId11"/>
    <sheet state="visible" name="Farms categorization" sheetId="8" r:id="rId12"/>
    <sheet state="visible" name="Land Use" sheetId="9" r:id="rId13"/>
    <sheet state="visible" name="FactEnzymes 0-10cm" sheetId="10" r:id="rId14"/>
    <sheet state="visible" name="FactBD 0-30cm" sheetId="11" r:id="rId15"/>
    <sheet state="visible" name="FactManagement" sheetId="12" r:id="rId16"/>
    <sheet state="visible" name="Soil Moisture (summer)" sheetId="13" r:id="rId17"/>
    <sheet state="visible" name="FactGodwits" sheetId="14" r:id="rId18"/>
    <sheet state="visible" name="Fungi diversity" sheetId="15" r:id="rId19"/>
    <sheet state="visible" name="SOM" sheetId="16" r:id="rId20"/>
    <sheet state="visible" name="POM" sheetId="17" r:id="rId21"/>
    <sheet state="visible" name="MAOM" sheetId="18" r:id="rId22"/>
  </sheets>
  <definedNames>
    <definedName hidden="1" localSheetId="6" name="_xlnm._FilterDatabase">Ownership!$A$1:$F$35</definedName>
    <definedName hidden="1" localSheetId="7" name="_xlnm._FilterDatabase">'Farms categorization'!$A$1:$F$35</definedName>
    <definedName hidden="1" localSheetId="8" name="_xlnm._FilterDatabase">'Land Use'!$A$1:$D$35</definedName>
    <definedName hidden="1" localSheetId="13" name="_xlnm._FilterDatabase">FactGodwits!$A$1:$P$50</definedName>
  </definedNames>
  <calcPr/>
</workbook>
</file>

<file path=xl/sharedStrings.xml><?xml version="1.0" encoding="utf-8"?>
<sst xmlns="http://schemas.openxmlformats.org/spreadsheetml/2006/main" count="1726" uniqueCount="561">
  <si>
    <t>Sample protocol</t>
  </si>
  <si>
    <t>General information</t>
  </si>
  <si>
    <t>Variables_ID</t>
  </si>
  <si>
    <t>Description</t>
  </si>
  <si>
    <t>Enzymes</t>
  </si>
  <si>
    <t>Table_ID</t>
  </si>
  <si>
    <t xml:space="preserve">Laboratory analysis of samples previuosly kept in cold at 4°C. Two protocols were used: One for Urease (Cordero et al. (2019)) and another for acid phosphatase, arylsulfatase, and β-glucosidase
(Tabatabai (1994))
</t>
  </si>
  <si>
    <t>Birds</t>
  </si>
  <si>
    <t>Observer quantification (?)</t>
  </si>
  <si>
    <t>Bulk Density</t>
  </si>
  <si>
    <t>?</t>
  </si>
  <si>
    <t>Organic matter</t>
  </si>
  <si>
    <t>explanation</t>
  </si>
  <si>
    <t xml:space="preserve">Samples were collected at 0-10 cm depth with a soil sampler. Estimations of Soil Organic Matter (SOM), Particulate Organic Matter (POM), and Mineralized Associated Organic Matter (MAOM) were performed. SOM was analyzed with a incineration approach. POM was also estimated through this way, but with a previous filtering of the coarse fraction. MAOM was obtained as the weigth difference in the POM process. </t>
  </si>
  <si>
    <t>Coarse fraction</t>
  </si>
  <si>
    <t>The sand content was assessed by subtracting the POM fraction of the sample. Clay and silt content was obtained by subtracting MAOM</t>
  </si>
  <si>
    <t>Management</t>
  </si>
  <si>
    <t xml:space="preserve">Type of land management in our study site. Owners, grassland type, collective/organization in charge, and land use applied </t>
  </si>
  <si>
    <t>LifeIP Meadow birds habitat</t>
  </si>
  <si>
    <t>Plot</t>
  </si>
  <si>
    <t>Project:</t>
  </si>
  <si>
    <t>All</t>
  </si>
  <si>
    <t>Sampling plots</t>
  </si>
  <si>
    <t>Latitude</t>
  </si>
  <si>
    <t>Points</t>
  </si>
  <si>
    <t>Geographic coordinate (decimal degrees)</t>
  </si>
  <si>
    <t>Longitude</t>
  </si>
  <si>
    <t>Size (ha)</t>
  </si>
  <si>
    <t>Size of plots in hectares</t>
  </si>
  <si>
    <t>Place:</t>
  </si>
  <si>
    <t>Southwest Friesland</t>
  </si>
  <si>
    <t>Land use</t>
  </si>
  <si>
    <t>Protected sites, herb-rich meadows and ryegrass fields</t>
  </si>
  <si>
    <t>GoogleMapsLink</t>
  </si>
  <si>
    <t>Precise plot coordinate</t>
  </si>
  <si>
    <t>SamplingDate1</t>
  </si>
  <si>
    <t>Samples 0-10 for enzymatic activity, pH and SOM10, POM10, MAOM10</t>
  </si>
  <si>
    <t xml:space="preserve">Person responsible for samples: </t>
  </si>
  <si>
    <t>Barbara Prack McCormick</t>
  </si>
  <si>
    <t>SamplingDate2</t>
  </si>
  <si>
    <t>Soil samples 0-30 for carbon sequestration, bulk density, POM30, MAOM30</t>
  </si>
  <si>
    <t>Contact:</t>
  </si>
  <si>
    <t>b.p.prack.mccormick@rug.nl</t>
  </si>
  <si>
    <t>Type</t>
  </si>
  <si>
    <t>Soil Type</t>
  </si>
  <si>
    <t>Grassland management</t>
  </si>
  <si>
    <t>Soil_mestwet</t>
  </si>
  <si>
    <t>Generalized classification of soil nutrients content for management purposes</t>
  </si>
  <si>
    <t>SoilType</t>
  </si>
  <si>
    <t>Physical composition of soil</t>
  </si>
  <si>
    <t>Owner</t>
  </si>
  <si>
    <t>Who owns the plot</t>
  </si>
  <si>
    <t>Collective</t>
  </si>
  <si>
    <t>Collective responsible for organizing</t>
  </si>
  <si>
    <t>Natura2000</t>
  </si>
  <si>
    <t>Presence of Natuta2000 area = 1, No = 0</t>
  </si>
  <si>
    <t>MeadowID</t>
  </si>
  <si>
    <t>Land Use</t>
  </si>
  <si>
    <t>ID of studied meadow</t>
  </si>
  <si>
    <t>meadowtype</t>
  </si>
  <si>
    <t>Type of grassland in the meadow</t>
  </si>
  <si>
    <t>Management practice</t>
  </si>
  <si>
    <t>type of management practice at plot level</t>
  </si>
  <si>
    <t>Management type</t>
  </si>
  <si>
    <t>Clasification of management practice in Extensive or Intensive</t>
  </si>
  <si>
    <t>aryl_sul (ug/g dry soil/hour)</t>
  </si>
  <si>
    <t>FactEnzymes 0-10 cm</t>
  </si>
  <si>
    <t xml:space="preserve">Arylsulphatase (sulfur cycling) activity. Expressed as micrograms of product released per gram of dry soil per hour
</t>
  </si>
  <si>
    <t>Sampling date:</t>
  </si>
  <si>
    <t>ac_fos (ug/g dry soil/hour)</t>
  </si>
  <si>
    <t>August - November 2023</t>
  </si>
  <si>
    <t>Acid-Phosphatase (Phosphorus cycling). Expressed as micrograms of product released per gram of dry soil per hour</t>
  </si>
  <si>
    <t>Sampling storage:</t>
  </si>
  <si>
    <t>air dried/room temperature</t>
  </si>
  <si>
    <t>Analysis date:</t>
  </si>
  <si>
    <t>beta_glu (ug/g dry soil/hour)</t>
  </si>
  <si>
    <t>feb-march 2026</t>
  </si>
  <si>
    <t>Beta-glucosidase (carbon cycling). Expressed as micrograms of product released per gram of dry soil per hour</t>
  </si>
  <si>
    <t>Person performing the analysis:</t>
  </si>
  <si>
    <t>Msc Student Luciano Rivas</t>
  </si>
  <si>
    <t>Urease (μg NH4/g soil/hour)</t>
  </si>
  <si>
    <t>Supervisor:</t>
  </si>
  <si>
    <t>Urease (Urea hydrolisis). Expressed as micrograms of ammonium (NH₄⁺) released per gram of soil per hour</t>
  </si>
  <si>
    <t>pH</t>
  </si>
  <si>
    <t>Data base link</t>
  </si>
  <si>
    <t>BD</t>
  </si>
  <si>
    <t>FactBD 0-30cm</t>
  </si>
  <si>
    <t>Bulk density of soil. Expressed in g/m3, 3 depths. 2 replicates per field</t>
  </si>
  <si>
    <t>Last_tillage</t>
  </si>
  <si>
    <t>https://docs.google.com/spreadsheets/d/1Pc59ZJTg8LHCrCSjGJh5OfJrLX7u69Er_kCkicbP7mY/edit?gid=0#gid=0</t>
  </si>
  <si>
    <t>FactManagement</t>
  </si>
  <si>
    <t xml:space="preserve">1: 0-2 years ago; 2 : 2-5 years ago; 3: 6-10 years ago; 4: 11-15 years ago; 5: 16+ years ago </t>
  </si>
  <si>
    <t>Artificial_Fert</t>
  </si>
  <si>
    <t>0: No; 1: Yes</t>
  </si>
  <si>
    <t>Slurry</t>
  </si>
  <si>
    <t>read_csv_link</t>
  </si>
  <si>
    <t>Solid_manure</t>
  </si>
  <si>
    <t>StudyInfo</t>
  </si>
  <si>
    <t>Fertilizer</t>
  </si>
  <si>
    <t>0 - Only manure; 1: Only Slurry; 2: Art-ferti + slurry</t>
  </si>
  <si>
    <t>Grazing</t>
  </si>
  <si>
    <t>0 - no grazing; 1: Little grazing (1 or 2x per year); 2: grazed regularly. Depends on the density of livestock and the rate of grazing on the field</t>
  </si>
  <si>
    <t>Mowing</t>
  </si>
  <si>
    <t>0 - no mowing; 1: 1/2 times mowing; 2: 3/4 mowing; 3: 5+ times mowing; 9: mowed unsure how often</t>
  </si>
  <si>
    <t>information about this data base</t>
  </si>
  <si>
    <t>Nature</t>
  </si>
  <si>
    <t>0 - not owned by nature organisation; 1: owned by nature organization</t>
  </si>
  <si>
    <t>Water level</t>
  </si>
  <si>
    <t xml:space="preserve">0: Water level at surface level; 3: Water level at mid surface level; 5: Water level at high depths </t>
  </si>
  <si>
    <t>Mean Moisture (%BD)</t>
  </si>
  <si>
    <t>Soil Moisture (summer)</t>
  </si>
  <si>
    <t>Moisture content as % of dry weight, dried at 105 degrees C. Samples collected in Autumn. Depth: 0-10, 10-20, 20-30. Only 2 replicates</t>
  </si>
  <si>
    <t>GodwitDensity</t>
  </si>
  <si>
    <t>FactGodwits</t>
  </si>
  <si>
    <t>Average number of godwits per hectare (2016-2022)</t>
  </si>
  <si>
    <t>Capsule_Tare</t>
  </si>
  <si>
    <t>SOM</t>
  </si>
  <si>
    <t>Weigth of capsule</t>
  </si>
  <si>
    <t>Soil_net_60 (g)</t>
  </si>
  <si>
    <t>Soil sample weigth</t>
  </si>
  <si>
    <t>Soil_Gross_105 (g)</t>
  </si>
  <si>
    <t>Soil sample + capsule weigth</t>
  </si>
  <si>
    <t>Soil_Net_105 (g)</t>
  </si>
  <si>
    <t>Soil sample weigth after treating it in the oven at 105°C for 24 hours</t>
  </si>
  <si>
    <t>Ashes_Gross (g)</t>
  </si>
  <si>
    <t>Soil sample after stove 550°C for 3 hours</t>
  </si>
  <si>
    <t>Ashes_Net (g)</t>
  </si>
  <si>
    <t>Soil sample minus the capsule weigth</t>
  </si>
  <si>
    <t>SOM (g/kg soil)</t>
  </si>
  <si>
    <t>SOM grams per kilogram of soil</t>
  </si>
  <si>
    <t>SOM_Average (g/kg soil)</t>
  </si>
  <si>
    <t>SOM Average per plot (averaging all three replicates per plot)</t>
  </si>
  <si>
    <t>Ashes (%)</t>
  </si>
  <si>
    <t>Percentage of ashes corresponding to the sample. It represents the mineral fraction, while organic matter is lost during ignition.</t>
  </si>
  <si>
    <t>Soil_Net (g)</t>
  </si>
  <si>
    <t>POM</t>
  </si>
  <si>
    <t>Initial soil sample</t>
  </si>
  <si>
    <t>Soil_Net_105_corrected (g)</t>
  </si>
  <si>
    <t xml:space="preserve">Soil sample corrected at a treatment with 105°C of prior drying </t>
  </si>
  <si>
    <t>Capsule Tare</t>
  </si>
  <si>
    <t>Dried_Coarse_Fraction_Gross (g)</t>
  </si>
  <si>
    <t>Soil sample weight after treating it in the oven at 60°C for 72 hours</t>
  </si>
  <si>
    <t>Dried_Coarse_Fraction_NET (g)</t>
  </si>
  <si>
    <t>The amount of the mineral and POM fraction</t>
  </si>
  <si>
    <t>Protocol</t>
  </si>
  <si>
    <t>Ashes _Gross (g)</t>
  </si>
  <si>
    <t>Soil sample weight after treating it in the stove at 550°C for 3 hours</t>
  </si>
  <si>
    <t>Methodology explanation</t>
  </si>
  <si>
    <t>The amount of the mineral fraction in the sample. All organic material was burned</t>
  </si>
  <si>
    <t>POM (g/kg soil)</t>
  </si>
  <si>
    <t>Grams of POM per kilogram of soil</t>
  </si>
  <si>
    <t>POM_Average (g/kg soil)</t>
  </si>
  <si>
    <t>https://docs.google.com/spreadsheets/d/1Pc59ZJTg8LHCrCSjGJh5OfJrLX7u69Er_kCkicbP7mY/edit?gid=563558566#gid=563558566</t>
  </si>
  <si>
    <t>POM average per plot (averaging all three replicates per plot)</t>
  </si>
  <si>
    <t>Total_Ashes (%)</t>
  </si>
  <si>
    <t>Sand (%)</t>
  </si>
  <si>
    <t>Percentage of sand in the sample</t>
  </si>
  <si>
    <t>Clay+silt (%)</t>
  </si>
  <si>
    <t>Proportion of fine soil particles in the sample</t>
  </si>
  <si>
    <t>Clay+Silt_Average (%)</t>
  </si>
  <si>
    <t>Average proportion of fine soil particles in the sample per plot</t>
  </si>
  <si>
    <t>MAOM (g/kg)</t>
  </si>
  <si>
    <t>MAOM</t>
  </si>
  <si>
    <t>Grams of MAOM per kilogram of soil in the sample</t>
  </si>
  <si>
    <t>Tables Source</t>
  </si>
  <si>
    <t>list of tables of the data base (this table)</t>
  </si>
  <si>
    <t>https://docs.google.com/spreadsheets/d/1Pc59ZJTg8LHCrCSjGJh5OfJrLX7u69Er_kCkicbP7mY/edit?gid=158925398#gid=158925398</t>
  </si>
  <si>
    <t>Variables</t>
  </si>
  <si>
    <t>explanation of variables</t>
  </si>
  <si>
    <t>spatial data of the study area</t>
  </si>
  <si>
    <t>https://docs.google.com/spreadsheets/d/1Pc59ZJTg8LHCrCSjGJh5OfJrLX7u69Er_kCkicbP7mY/edit?gid=1600072753#gid=1600072753</t>
  </si>
  <si>
    <t>Soil type</t>
  </si>
  <si>
    <t>Soil composition and grassland characteristic</t>
  </si>
  <si>
    <t>https://docs.google.com/spreadsheets/d/1Pc59ZJTg8LHCrCSjGJh5OfJrLX7u69Er_kCkicbP7mY/edit?gid=321392057#gid=321392057</t>
  </si>
  <si>
    <t>Lattitude</t>
  </si>
  <si>
    <t>Who manages the land</t>
  </si>
  <si>
    <t>https://docs.google.com/spreadsheets/d/1Pc59ZJTg8LHCrCSjGJh5OfJrLX7u69Er_kCkicbP7mY/edit?gid=341591005#gid=341591005</t>
  </si>
  <si>
    <t>Size(ha)</t>
  </si>
  <si>
    <t>Meadow management</t>
  </si>
  <si>
    <t>https://docs.google.com/spreadsheets/d/1Pc59ZJTg8LHCrCSjGJh5OfJrLX7u69Er_kCkicbP7mY/edit?gid=268592532#gid=268592532</t>
  </si>
  <si>
    <t>https://goo.gl/maps/4JGSVtjpVH8Wj1CU8</t>
  </si>
  <si>
    <t>FactEnzymes 0-10cm</t>
  </si>
  <si>
    <t>Enzymes analysed</t>
  </si>
  <si>
    <t>https://docs.google.com/spreadsheets/d/1Pc59ZJTg8LHCrCSjGJh5OfJrLX7u69Er_kCkicbP7mY/edit?gid=1233139346#gid=1233139346</t>
  </si>
  <si>
    <t>15.08.23</t>
  </si>
  <si>
    <t>7.12.2023</t>
  </si>
  <si>
    <t>Bulk density analysis</t>
  </si>
  <si>
    <t>https://docs.google.com/spreadsheets/d/1Pc59ZJTg8LHCrCSjGJh5OfJrLX7u69Er_kCkicbP7mY/edit?gid=1103075516#gid=1103075516</t>
  </si>
  <si>
    <t>https://goo.gl/maps/HoRjj9upF38WpkUXA</t>
  </si>
  <si>
    <t xml:space="preserve">Soil moisture </t>
  </si>
  <si>
    <t>https://docs.google.com/spreadsheets/d/1Pc59ZJTg8LHCrCSjGJh5OfJrLX7u69Er_kCkicbP7mY/edit?gid=2025662198#gid=2025662198</t>
  </si>
  <si>
    <t>29.11.2023</t>
  </si>
  <si>
    <t>https://goo.gl/maps/u3JRNBe2NPadhALv8</t>
  </si>
  <si>
    <t>Godwits analysis</t>
  </si>
  <si>
    <t>https://docs.google.com/spreadsheets/d/1Pc59ZJTg8LHCrCSjGJh5OfJrLX7u69Er_kCkicbP7mY/edit?gid=914427057#gid=914427057</t>
  </si>
  <si>
    <t>Permanent grassland</t>
  </si>
  <si>
    <t>https://goo.gl/maps/nBmhfJsK7Sxrydzm8</t>
  </si>
  <si>
    <t>Soil organic matter analysis</t>
  </si>
  <si>
    <t>Clay</t>
  </si>
  <si>
    <t>https://docs.google.com/spreadsheets/d/1Pc59ZJTg8LHCrCSjGJh5OfJrLX7u69Er_kCkicbP7mY/edit?gid=250711603#gid=250711603</t>
  </si>
  <si>
    <t>Light loam (70%) heavy loam (30%)</t>
  </si>
  <si>
    <t>Heavy loam (100%)</t>
  </si>
  <si>
    <t>Grassland, natural. Main function agriculture</t>
  </si>
  <si>
    <t>Heavy clay (100%)</t>
  </si>
  <si>
    <t>https://goo.gl/maps/fhoHpHkHpAr8M3hf7</t>
  </si>
  <si>
    <t>Light loam (52%) heavy loam (48%)</t>
  </si>
  <si>
    <t>Particulate organic matter analysis</t>
  </si>
  <si>
    <t>Temporary grassland</t>
  </si>
  <si>
    <t>https://docs.google.com/spreadsheets/d/1Pc59ZJTg8LHCrCSjGJh5OfJrLX7u69Er_kCkicbP7mY/edit?gid=1946457497#gid=1946457497</t>
  </si>
  <si>
    <t>Light loam (19%) heavy loam (59%) built-up area etc. (22%)</t>
  </si>
  <si>
    <t>21.08.23</t>
  </si>
  <si>
    <t>24.11.2023</t>
  </si>
  <si>
    <t>Light loam (100%)</t>
  </si>
  <si>
    <t>https://goo.gl/maps/hCBKyKATpvKHUAT18</t>
  </si>
  <si>
    <t>Mineralized associated organic matter analysis</t>
  </si>
  <si>
    <t>https://docs.google.com/spreadsheets/d/1Pc59ZJTg8LHCrCSjGJh5OfJrLX7u69Er_kCkicbP7mY/edit?gid=735710415#gid=735710415</t>
  </si>
  <si>
    <t>30.11.2023</t>
  </si>
  <si>
    <t>Heavy loam (21%) light clay (79%)</t>
  </si>
  <si>
    <t>https://goo.gl/maps/7oGQrhte8j17Y5838</t>
  </si>
  <si>
    <t>Light loam (31%) heavy loam (69%)</t>
  </si>
  <si>
    <t>Light clay (100%)</t>
  </si>
  <si>
    <t>https://goo.gl/maps/C7p2PECFtJtsMGsb8</t>
  </si>
  <si>
    <t>23.11.2023</t>
  </si>
  <si>
    <t>https://goo.gl/maps/ghx3mGsvbxZmqWQX7</t>
  </si>
  <si>
    <t>Contact Person</t>
  </si>
  <si>
    <t>phone/email</t>
  </si>
  <si>
    <t>Light clay (26%) heavy clay (74%)</t>
  </si>
  <si>
    <t>Epke and Anke Zonderland</t>
  </si>
  <si>
    <t>https://goo.gl/maps/DZYapX2gdCHVvvbN7</t>
  </si>
  <si>
    <t>ehzonderlandbedrijf@outlook.com</t>
  </si>
  <si>
    <t>24.08.23</t>
  </si>
  <si>
    <t>Cooperatieve Vereniging Sudwestkust U.A.</t>
  </si>
  <si>
    <t>https://goo.gl/maps/FQs9N9UdxA1rZPky9</t>
  </si>
  <si>
    <t>Niek en Annie Galama</t>
  </si>
  <si>
    <t>niekenannie@hetnet.nl</t>
  </si>
  <si>
    <t>Staatsbosbeheer</t>
  </si>
  <si>
    <t>Sietze Henk Haijtema</t>
  </si>
  <si>
    <t>+31 6 36381547</t>
  </si>
  <si>
    <t>https://goo.gl/maps/FzEKeGqgcvctREQr8</t>
  </si>
  <si>
    <t>Jakob van der Valk (field station farm)</t>
  </si>
  <si>
    <t>https://goo.gl/maps/wJBa8xfu1YMPJo5X7</t>
  </si>
  <si>
    <t>Sand</t>
  </si>
  <si>
    <t>Light loam (79%) heavy clay (21%)</t>
  </si>
  <si>
    <t>+31 6 13677463</t>
  </si>
  <si>
    <t xml:space="preserve">Clay </t>
  </si>
  <si>
    <t>Pieter van der Valk</t>
  </si>
  <si>
    <t>06 1356 1835</t>
  </si>
  <si>
    <t>https://goo.gl/maps/cQiUCZdbN5LxY5Eq5</t>
  </si>
  <si>
    <t xml:space="preserve">Cooperatieve Vereniging Sudwestkust U.A. </t>
  </si>
  <si>
    <t>04.09.23</t>
  </si>
  <si>
    <t>1.12.2023</t>
  </si>
  <si>
    <t>https://goo.gl/maps/Jym7aMAambciPLAbA</t>
  </si>
  <si>
    <t>Durk Venema</t>
  </si>
  <si>
    <t>0612723823/ D.Venema@staatsbosbeheer.nl</t>
  </si>
  <si>
    <t>ManagedYesNo</t>
  </si>
  <si>
    <t xml:space="preserve">Management type </t>
  </si>
  <si>
    <t>https://goo.gl/maps/SKaV9sA7du4v4npJ7</t>
  </si>
  <si>
    <r>
      <rPr>
        <rFont val="Calibri"/>
        <b/>
        <color theme="1"/>
        <sz val="11.0"/>
      </rPr>
      <t>AES</t>
    </r>
    <r>
      <rPr>
        <rFont val="Calibri"/>
        <color theme="1"/>
        <sz val="11.0"/>
      </rPr>
      <t xml:space="preserve"> </t>
    </r>
  </si>
  <si>
    <t>HerbRich</t>
  </si>
  <si>
    <t>AES</t>
  </si>
  <si>
    <t>https://goo.gl/maps/wN4izQBTT4NkfRjB6</t>
  </si>
  <si>
    <t>Intermediate</t>
  </si>
  <si>
    <t>DelayedMowing</t>
  </si>
  <si>
    <t>Diversified</t>
  </si>
  <si>
    <t>ProtectedSite + HerbRich fields</t>
  </si>
  <si>
    <t>RyeGrass</t>
  </si>
  <si>
    <t>Conventional Meadows</t>
  </si>
  <si>
    <t>Intensive</t>
  </si>
  <si>
    <t>IntensiveAgriculture</t>
  </si>
  <si>
    <t>Atze Bosch</t>
  </si>
  <si>
    <t>https://goo.gl/maps/BkQVsb4JqRSCwmUf7</t>
  </si>
  <si>
    <t>+31 6 34038967</t>
  </si>
  <si>
    <t>RyeGrass fields with AES/conservation intervention</t>
  </si>
  <si>
    <t>ProtectedSite</t>
  </si>
  <si>
    <t>Site Protection</t>
  </si>
  <si>
    <t>SiteProtection</t>
  </si>
  <si>
    <t>https://goo.gl/maps/K3KTmHpaQq3M94yD7</t>
  </si>
  <si>
    <t>Jeroen Van Middelaar</t>
  </si>
  <si>
    <t>RyeGrass + Conventional Meadows / IntensiveAgriculture</t>
  </si>
  <si>
    <t>+31 6 25127725</t>
  </si>
  <si>
    <t>https://goo.gl/maps/jYqSn7nzaY4KiJKd7</t>
  </si>
  <si>
    <t>05.09.23</t>
  </si>
  <si>
    <t>Diversified / Protected</t>
  </si>
  <si>
    <t>Chris Zonderland</t>
  </si>
  <si>
    <t>+31 6 45332267</t>
  </si>
  <si>
    <t>https://goo.gl/maps/ZztjfaFhecRYsB6H8</t>
  </si>
  <si>
    <t>NestProtection</t>
  </si>
  <si>
    <t>Bote de Boer</t>
  </si>
  <si>
    <t>+31 6 81935300</t>
  </si>
  <si>
    <t>RyeGrass + AES</t>
  </si>
  <si>
    <t>https://goo.gl/maps/W8ziEZ4mtesWkbPM6</t>
  </si>
  <si>
    <t>RyeGrass + Conventional Meadows</t>
  </si>
  <si>
    <t>https://goo.gl/maps/otfTDaq9TLawfkJZ7</t>
  </si>
  <si>
    <t>Sietse Hibma</t>
  </si>
  <si>
    <t>+31 517532107</t>
  </si>
  <si>
    <t>https://goo.gl/maps/aEBeAyTSCuyrRUsL6</t>
  </si>
  <si>
    <t>It Fryske Gea</t>
  </si>
  <si>
    <t>Harry Wijbrands and Germ van der Burg</t>
  </si>
  <si>
    <t>h.wijbrands@itfryskegea.nl, G.vanderBurg@itfryskegea.nl</t>
  </si>
  <si>
    <t>https://goo.gl/maps/iVwiF9wRZBu6u7gt8</t>
  </si>
  <si>
    <t>Neighbour from Durk B</t>
  </si>
  <si>
    <t>Durk Breeuwsma</t>
  </si>
  <si>
    <t>(+31) 653886149</t>
  </si>
  <si>
    <t>https://maps.app.goo.gl/N3FBDWygLpYedYLv9</t>
  </si>
  <si>
    <t>26.09.23</t>
  </si>
  <si>
    <t xml:space="preserve">	h.wijbrands@itfryskegea.nl, G.vanderBurg@itfryskegea.nl</t>
  </si>
  <si>
    <t>https://maps.app.goo.gl/KMRBGfDv6jXohN3k8</t>
  </si>
  <si>
    <t>https://maps.app.goo.gl/jvdqJHcr5jkdrQLr5</t>
  </si>
  <si>
    <t>Douwe Stellingwerf</t>
  </si>
  <si>
    <t>+31 6 20823689</t>
  </si>
  <si>
    <t>https://maps.app.goo.gl/nymH1WWGbGBWz4gD8</t>
  </si>
  <si>
    <t>https://maps.app.goo.gl/2Vvou9ck1HTxEGX87</t>
  </si>
  <si>
    <t>Hielkje Van der Wal</t>
  </si>
  <si>
    <t>+31 6 22836180</t>
  </si>
  <si>
    <t>https://maps.app.goo.gl/CRUDF5V693TUXh2V7</t>
  </si>
  <si>
    <t>na</t>
  </si>
  <si>
    <t>Mosaics</t>
  </si>
  <si>
    <t>https://maps.app.goo.gl/EqRujtQhtTDrDn2z5</t>
  </si>
  <si>
    <t>https://maps.app.goo.gl/yEX6gTMG5TRsJupYA</t>
  </si>
  <si>
    <t>https://maps.app.goo.gl/ZoizHFxiKzAaAPYw5</t>
  </si>
  <si>
    <t>Replicate</t>
  </si>
  <si>
    <t>core</t>
  </si>
  <si>
    <t>depth</t>
  </si>
  <si>
    <t>sampleID</t>
  </si>
  <si>
    <t>proces_date</t>
  </si>
  <si>
    <t>Waterlevel</t>
  </si>
  <si>
    <t>a</t>
  </si>
  <si>
    <t>0-10</t>
  </si>
  <si>
    <t>b</t>
  </si>
  <si>
    <t>10-20</t>
  </si>
  <si>
    <t>c</t>
  </si>
  <si>
    <t>20-30</t>
  </si>
  <si>
    <t>Mean Moisture (%DS)</t>
  </si>
  <si>
    <t>HA</t>
  </si>
  <si>
    <t>Area</t>
  </si>
  <si>
    <t>Peremiter</t>
  </si>
  <si>
    <t>X</t>
  </si>
  <si>
    <t>Y</t>
  </si>
  <si>
    <t>YEAR</t>
  </si>
  <si>
    <t>MeadowHa</t>
  </si>
  <si>
    <t>Territorials</t>
  </si>
  <si>
    <t>TerritorialsPerHa</t>
  </si>
  <si>
    <t>Column 16</t>
  </si>
  <si>
    <t>IncomePerHa</t>
  </si>
  <si>
    <t>PackagesNumber</t>
  </si>
  <si>
    <t>group</t>
  </si>
  <si>
    <t>Sample</t>
  </si>
  <si>
    <t>Richness</t>
  </si>
  <si>
    <t>Shannon</t>
  </si>
  <si>
    <t>Simpson</t>
  </si>
  <si>
    <t>Pielou</t>
  </si>
  <si>
    <t>Richness_SRS</t>
  </si>
  <si>
    <t>s</t>
  </si>
  <si>
    <t>Simpson_SRS</t>
  </si>
  <si>
    <t>Pielou_SRS</t>
  </si>
  <si>
    <t>F.BP.1</t>
  </si>
  <si>
    <t>F.BP.2</t>
  </si>
  <si>
    <t>F.BP.3</t>
  </si>
  <si>
    <t>F.BP.4</t>
  </si>
  <si>
    <t>F.BP.5</t>
  </si>
  <si>
    <t>F.BP.6</t>
  </si>
  <si>
    <t>F.BP.7</t>
  </si>
  <si>
    <t>F.BP.8</t>
  </si>
  <si>
    <t>F.BP.9</t>
  </si>
  <si>
    <t>F.BP.10</t>
  </si>
  <si>
    <t>F.BP.11</t>
  </si>
  <si>
    <t>ns</t>
  </si>
  <si>
    <t>F.BP.12</t>
  </si>
  <si>
    <t>F.BP.13</t>
  </si>
  <si>
    <t>F.BP.14</t>
  </si>
  <si>
    <t>F.BP.15</t>
  </si>
  <si>
    <t>F.BP.16</t>
  </si>
  <si>
    <t>F.BP.17</t>
  </si>
  <si>
    <t>F.BP.18</t>
  </si>
  <si>
    <t>F.BP.19</t>
  </si>
  <si>
    <t>F.BP.20</t>
  </si>
  <si>
    <t>F.BP.21</t>
  </si>
  <si>
    <t>F.BP.22</t>
  </si>
  <si>
    <t>F.BP.23</t>
  </si>
  <si>
    <t>F.BP.24</t>
  </si>
  <si>
    <t>F.BP.25</t>
  </si>
  <si>
    <t>F.BP.26</t>
  </si>
  <si>
    <t>F.BP.27</t>
  </si>
  <si>
    <t>F.BP.28</t>
  </si>
  <si>
    <t>F.BP.29</t>
  </si>
  <si>
    <t>F.BP.30</t>
  </si>
  <si>
    <t>F.BP.31</t>
  </si>
  <si>
    <t>F.BP.32</t>
  </si>
  <si>
    <t>F.BP.33</t>
  </si>
  <si>
    <t>F.BP.34</t>
  </si>
  <si>
    <t>F.BP.35</t>
  </si>
  <si>
    <t>F.BP.36</t>
  </si>
  <si>
    <t>F.BP.37</t>
  </si>
  <si>
    <t>F.BP.38</t>
  </si>
  <si>
    <t>F.BP.39</t>
  </si>
  <si>
    <t>F.BP.40</t>
  </si>
  <si>
    <t>F.BP.41</t>
  </si>
  <si>
    <t>F.BP.42</t>
  </si>
  <si>
    <t>F.BP.43</t>
  </si>
  <si>
    <t>F.BP.44</t>
  </si>
  <si>
    <t>F.BP.45</t>
  </si>
  <si>
    <t>F.BP.46</t>
  </si>
  <si>
    <t>F.BP.47</t>
  </si>
  <si>
    <t>#</t>
  </si>
  <si>
    <t>F.BP.48</t>
  </si>
  <si>
    <t>F.BP.49</t>
  </si>
  <si>
    <t>F.BP.50</t>
  </si>
  <si>
    <t>F.BP.51</t>
  </si>
  <si>
    <t>F.BP.52</t>
  </si>
  <si>
    <t>F.BP.53</t>
  </si>
  <si>
    <t>F.BP.54</t>
  </si>
  <si>
    <t>F.BP.55</t>
  </si>
  <si>
    <t>F.BP.56</t>
  </si>
  <si>
    <t>F.BP.57</t>
  </si>
  <si>
    <t>F.BP.58</t>
  </si>
  <si>
    <t>F.BP.59</t>
  </si>
  <si>
    <t>F.BP.60</t>
  </si>
  <si>
    <t>F.BP.61</t>
  </si>
  <si>
    <t>F.BP.62</t>
  </si>
  <si>
    <t>F.BP.63</t>
  </si>
  <si>
    <t>F.BP.64</t>
  </si>
  <si>
    <t>F.BP.65</t>
  </si>
  <si>
    <t>F.BP.66</t>
  </si>
  <si>
    <t>F.BP.67</t>
  </si>
  <si>
    <t>F.BP.68</t>
  </si>
  <si>
    <t>F.BP.69</t>
  </si>
  <si>
    <t>F.BP.70</t>
  </si>
  <si>
    <t>F.BP.71</t>
  </si>
  <si>
    <t>F.BP.72</t>
  </si>
  <si>
    <t>F.BP.73</t>
  </si>
  <si>
    <t>F.BP.74</t>
  </si>
  <si>
    <t>F.BP.75</t>
  </si>
  <si>
    <t>F.BP.76</t>
  </si>
  <si>
    <t>Field Number</t>
  </si>
  <si>
    <t>F.BP.77</t>
  </si>
  <si>
    <t>Burning date</t>
  </si>
  <si>
    <t>Capsule</t>
  </si>
  <si>
    <t>Soil_Net_60 (g)</t>
  </si>
  <si>
    <t>F.BP.78</t>
  </si>
  <si>
    <t>F.BP.79</t>
  </si>
  <si>
    <t>F.BP.80</t>
  </si>
  <si>
    <t>F.BP.81</t>
  </si>
  <si>
    <t>F.BP.82</t>
  </si>
  <si>
    <t>F.BP.83</t>
  </si>
  <si>
    <t>F.BP.84</t>
  </si>
  <si>
    <t>F.BP.85</t>
  </si>
  <si>
    <t>F.BP.86</t>
  </si>
  <si>
    <t>F.BP.87</t>
  </si>
  <si>
    <t>F.BP.88</t>
  </si>
  <si>
    <t>F.BP.90</t>
  </si>
  <si>
    <t>F.BP.91</t>
  </si>
  <si>
    <t>F.BP.92</t>
  </si>
  <si>
    <t>F.BP.93</t>
  </si>
  <si>
    <t>F.BP.94</t>
  </si>
  <si>
    <t>F.BP.95</t>
  </si>
  <si>
    <t>F.BP.96</t>
  </si>
  <si>
    <t>F.BP.97</t>
  </si>
  <si>
    <t>F.BP.98</t>
  </si>
  <si>
    <t>F.BP.99</t>
  </si>
  <si>
    <t>F.BP.100</t>
  </si>
  <si>
    <t>F.BP.101</t>
  </si>
  <si>
    <t>Field number</t>
  </si>
  <si>
    <t>Jar Nº</t>
  </si>
  <si>
    <t>Capsule Nº</t>
  </si>
  <si>
    <t xml:space="preserve">Clay+Silt_Average (%) </t>
  </si>
  <si>
    <t>30.07.24</t>
  </si>
  <si>
    <t>1.1</t>
  </si>
  <si>
    <t>1.2</t>
  </si>
  <si>
    <t>1.3</t>
  </si>
  <si>
    <t>2.1</t>
  </si>
  <si>
    <t>2.2</t>
  </si>
  <si>
    <t>2.3</t>
  </si>
  <si>
    <t>3.1</t>
  </si>
  <si>
    <t>3.2</t>
  </si>
  <si>
    <t>3.3</t>
  </si>
  <si>
    <t>4.1</t>
  </si>
  <si>
    <t>4.2</t>
  </si>
  <si>
    <t>4.3</t>
  </si>
  <si>
    <t>5.1</t>
  </si>
  <si>
    <t>5.2</t>
  </si>
  <si>
    <t>5.3</t>
  </si>
  <si>
    <t>6.1</t>
  </si>
  <si>
    <t>6.2</t>
  </si>
  <si>
    <t>6.3</t>
  </si>
  <si>
    <t>6.08.24</t>
  </si>
  <si>
    <t>7.1</t>
  </si>
  <si>
    <t>7.2</t>
  </si>
  <si>
    <t>7.3</t>
  </si>
  <si>
    <t>8.1</t>
  </si>
  <si>
    <t>-</t>
  </si>
  <si>
    <t>8.2</t>
  </si>
  <si>
    <t>8.3</t>
  </si>
  <si>
    <t>9.1</t>
  </si>
  <si>
    <t>9.2</t>
  </si>
  <si>
    <t>9.3</t>
  </si>
  <si>
    <t>10.1</t>
  </si>
  <si>
    <t>10.2</t>
  </si>
  <si>
    <t>10.3</t>
  </si>
  <si>
    <t>11.1</t>
  </si>
  <si>
    <t>11.2</t>
  </si>
  <si>
    <t>11.3</t>
  </si>
  <si>
    <t>12.1</t>
  </si>
  <si>
    <t>12.2</t>
  </si>
  <si>
    <t>12.3</t>
  </si>
  <si>
    <t>13.08.24</t>
  </si>
  <si>
    <t>13.1</t>
  </si>
  <si>
    <t>13.2</t>
  </si>
  <si>
    <t>13.3</t>
  </si>
  <si>
    <t>14.1</t>
  </si>
  <si>
    <t>14.2</t>
  </si>
  <si>
    <t>14.3</t>
  </si>
  <si>
    <t>15.1</t>
  </si>
  <si>
    <t>15.2</t>
  </si>
  <si>
    <t>15.3</t>
  </si>
  <si>
    <t>16.1</t>
  </si>
  <si>
    <t>16.2</t>
  </si>
  <si>
    <t>16.3</t>
  </si>
  <si>
    <t>17.1</t>
  </si>
  <si>
    <t>17.2</t>
  </si>
  <si>
    <t>17.3</t>
  </si>
  <si>
    <t>18.1</t>
  </si>
  <si>
    <t>18.2</t>
  </si>
  <si>
    <t>18.3</t>
  </si>
  <si>
    <t>20.08.24</t>
  </si>
  <si>
    <t>19.1</t>
  </si>
  <si>
    <t>19.2</t>
  </si>
  <si>
    <t>19.3</t>
  </si>
  <si>
    <t>20.1</t>
  </si>
  <si>
    <t>20.2</t>
  </si>
  <si>
    <t>20.3</t>
  </si>
  <si>
    <t>21.1</t>
  </si>
  <si>
    <t>21.2</t>
  </si>
  <si>
    <t>21.3</t>
  </si>
  <si>
    <t>22.1</t>
  </si>
  <si>
    <t>22.2</t>
  </si>
  <si>
    <t>22.3</t>
  </si>
  <si>
    <t>23.1</t>
  </si>
  <si>
    <t>23.2</t>
  </si>
  <si>
    <t>23.3</t>
  </si>
  <si>
    <t>24.1</t>
  </si>
  <si>
    <t>24.2</t>
  </si>
  <si>
    <t>24.3</t>
  </si>
  <si>
    <t>30.08.24</t>
  </si>
  <si>
    <t>25.1</t>
  </si>
  <si>
    <t>25.2</t>
  </si>
  <si>
    <t>25.3</t>
  </si>
  <si>
    <t>26.1</t>
  </si>
  <si>
    <t>26.2</t>
  </si>
  <si>
    <t>26.3</t>
  </si>
  <si>
    <t>27.1</t>
  </si>
  <si>
    <t>27.2</t>
  </si>
  <si>
    <t>27.3</t>
  </si>
  <si>
    <t>28.1</t>
  </si>
  <si>
    <t>28.2</t>
  </si>
  <si>
    <t>28.3</t>
  </si>
  <si>
    <t>29.1</t>
  </si>
  <si>
    <t>29.2</t>
  </si>
  <si>
    <t>29.3</t>
  </si>
  <si>
    <t>30.1</t>
  </si>
  <si>
    <t>30.2</t>
  </si>
  <si>
    <t>30.3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</si>
</sst>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00"/>
    <numFmt numFmtId="165" formatCode="0.000"/>
  </numFmts>
  <fonts count="19">
    <font>
      <sz val="10.0"/>
      <color rgb="FF000000"/>
      <name val="Arial"/>
      <scheme val="minor"/>
    </font>
    <font>
      <b/>
      <color theme="1"/>
      <name val="Arial"/>
      <scheme val="minor"/>
    </font>
    <font>
      <color rgb="FFFFFFFF"/>
      <name val="Roboto"/>
    </font>
    <font>
      <color theme="1"/>
      <name val="Arial"/>
      <scheme val="minor"/>
    </font>
    <font>
      <b/>
      <sz val="11.0"/>
      <color rgb="FFC55A1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i/>
      <color theme="1"/>
      <name val="Arial"/>
      <scheme val="minor"/>
    </font>
    <font>
      <color theme="1"/>
      <name val="Arial"/>
    </font>
    <font>
      <u/>
      <sz val="11.0"/>
      <color rgb="FF0563C1"/>
      <name val="Calibri"/>
    </font>
    <font>
      <color theme="1"/>
      <name val="Roboto"/>
    </font>
    <font>
      <u/>
      <color rgb="FF0000FF"/>
    </font>
    <font>
      <u/>
      <color rgb="FF0000FF"/>
      <name val="Roboto"/>
    </font>
    <font>
      <u/>
      <color rgb="FF434343"/>
      <name val="Roboto"/>
    </font>
    <font>
      <u/>
      <sz val="11.0"/>
      <color rgb="FF0563C1"/>
      <name val="Calibri"/>
    </font>
    <font>
      <sz val="11.0"/>
      <color theme="1"/>
      <name val="Arial"/>
      <scheme val="minor"/>
    </font>
    <font>
      <u/>
      <sz val="11.0"/>
      <color rgb="FF1155CC"/>
      <name val="Calibri"/>
    </font>
    <font>
      <b/>
      <color theme="1"/>
      <name val="Arial"/>
    </font>
    <font>
      <sz val="11.0"/>
      <color rgb="FFFF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9B3642"/>
        <bgColor rgb="FF9B3642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A9D18D"/>
        <bgColor rgb="FFA9D18D"/>
      </patternFill>
    </fill>
    <fill>
      <patternFill patternType="solid">
        <fgColor rgb="FFB3CEFA"/>
        <bgColor rgb="FFB3CEFA"/>
      </patternFill>
    </fill>
    <fill>
      <patternFill patternType="solid">
        <fgColor rgb="FF9CC3E6"/>
        <bgColor rgb="FF9CC3E6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E2F0D9"/>
        <bgColor rgb="FFE2F0D9"/>
      </patternFill>
    </fill>
    <fill>
      <patternFill patternType="solid">
        <fgColor rgb="FFFBE4D5"/>
        <bgColor rgb="FFFBE4D5"/>
      </patternFill>
    </fill>
  </fills>
  <borders count="6">
    <border/>
    <border>
      <left style="thin">
        <color rgb="FF742932"/>
      </left>
      <right style="thin">
        <color rgb="FF9B3642"/>
      </right>
      <top style="thin">
        <color rgb="FF742932"/>
      </top>
      <bottom style="thin">
        <color rgb="FF742932"/>
      </bottom>
    </border>
    <border>
      <left style="thin">
        <color rgb="FF9B3642"/>
      </left>
      <right style="thin">
        <color rgb="FF9B3642"/>
      </right>
      <top style="thin">
        <color rgb="FF742932"/>
      </top>
      <bottom style="thin">
        <color rgb="FF742932"/>
      </bottom>
    </border>
    <border>
      <left style="thin">
        <color rgb="FF9B3642"/>
      </left>
      <right style="thin">
        <color rgb="FF742932"/>
      </right>
      <top style="thin">
        <color rgb="FF742932"/>
      </top>
      <bottom style="thin">
        <color rgb="FF742932"/>
      </bottom>
    </border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1" fillId="2" fontId="2" numFmtId="0" xfId="0" applyAlignment="1" applyBorder="1" applyFill="1" applyFont="1">
      <alignment shrinkToFit="0" wrapText="0"/>
    </xf>
    <xf borderId="0" fillId="0" fontId="3" numFmtId="0" xfId="0" applyAlignment="1" applyFont="1">
      <alignment readingOrder="0" shrinkToFit="0" wrapText="0"/>
    </xf>
    <xf borderId="2" fillId="2" fontId="2" numFmtId="0" xfId="0" applyAlignment="1" applyBorder="1" applyFill="1" applyFont="1">
      <alignment shrinkToFit="0" wrapText="0"/>
    </xf>
    <xf borderId="0" fillId="0" fontId="4" numFmtId="0" xfId="0" applyAlignment="1" applyFont="1">
      <alignment vertical="bottom"/>
    </xf>
    <xf borderId="3" fillId="2" fontId="2" numFmtId="0" xfId="0" applyAlignment="1" applyBorder="1" applyFill="1" applyFont="1">
      <alignment shrinkToFit="0" wrapText="0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6" numFmtId="0" xfId="0" applyAlignment="1" applyFont="1">
      <alignment readingOrder="0" vertical="bottom"/>
    </xf>
    <xf borderId="0" fillId="0" fontId="0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vertical="bottom"/>
    </xf>
    <xf borderId="0" fillId="3" fontId="0" numFmtId="0" xfId="0" applyAlignment="1" applyFill="1" applyFont="1">
      <alignment horizontal="left" readingOrder="0"/>
    </xf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readingOrder="0"/>
    </xf>
    <xf borderId="0" fillId="0" fontId="3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vertical="bottom"/>
    </xf>
    <xf borderId="0" fillId="0" fontId="0" numFmtId="0" xfId="0" applyAlignment="1" applyFont="1">
      <alignment readingOrder="0"/>
    </xf>
    <xf borderId="0" fillId="0" fontId="1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shrinkToFit="0" vertical="center" wrapText="0"/>
    </xf>
    <xf borderId="0" fillId="0" fontId="5" numFmtId="0" xfId="0" applyAlignment="1" applyFont="1">
      <alignment horizontal="left" readingOrder="0" shrinkToFit="0" vertical="top" wrapText="0"/>
    </xf>
    <xf borderId="0" fillId="0" fontId="13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readingOrder="0" shrinkToFit="0" vertical="top" wrapText="0"/>
    </xf>
    <xf borderId="0" fillId="0" fontId="5" numFmtId="0" xfId="0" applyAlignment="1" applyFont="1">
      <alignment horizontal="right" shrinkToFit="0" vertical="top" wrapText="0"/>
    </xf>
    <xf borderId="0" fillId="0" fontId="5" numFmtId="164" xfId="0" applyAlignment="1" applyFont="1" applyNumberFormat="1">
      <alignment shrinkToFit="0" vertical="top" wrapText="0"/>
    </xf>
    <xf borderId="0" fillId="0" fontId="5" numFmtId="0" xfId="0" applyAlignment="1" applyFont="1">
      <alignment shrinkToFit="0" vertical="top" wrapText="0"/>
    </xf>
    <xf borderId="0" fillId="0" fontId="14" numFmtId="0" xfId="0" applyAlignment="1" applyFont="1">
      <alignment shrinkToFit="0" vertical="top" wrapText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readingOrder="0" shrinkToFit="0" vertical="center" wrapText="0"/>
    </xf>
    <xf borderId="0" fillId="0" fontId="5" numFmtId="164" xfId="0" applyAlignment="1" applyFont="1" applyNumberFormat="1">
      <alignment shrinkToFit="0" vertical="bottom" wrapText="0"/>
    </xf>
    <xf borderId="0" fillId="0" fontId="8" numFmtId="0" xfId="0" applyAlignment="1" applyFont="1">
      <alignment readingOrder="0" shrinkToFit="0" vertical="top" wrapText="0"/>
    </xf>
    <xf borderId="0" fillId="0" fontId="5" numFmtId="0" xfId="0" applyAlignment="1" applyFont="1">
      <alignment shrinkToFit="0" vertical="bottom" wrapText="0"/>
    </xf>
    <xf borderId="4" fillId="3" fontId="5" numFmtId="0" xfId="0" applyAlignment="1" applyBorder="1" applyFill="1" applyFont="1">
      <alignment shrinkToFit="0" vertical="bottom" wrapText="0"/>
    </xf>
    <xf borderId="0" fillId="0" fontId="5" numFmtId="0" xfId="0" applyAlignment="1" applyFont="1">
      <alignment readingOrder="0" shrinkToFit="0" vertical="top" wrapText="0"/>
    </xf>
    <xf borderId="0" fillId="0" fontId="5" numFmtId="0" xfId="0" applyAlignment="1" applyFont="1">
      <alignment shrinkToFit="0" vertical="bottom" wrapText="0"/>
    </xf>
    <xf borderId="0" fillId="0" fontId="8" numFmtId="0" xfId="0" applyAlignment="1" applyFont="1">
      <alignment shrinkToFit="0" vertical="top" wrapText="0"/>
    </xf>
    <xf borderId="0" fillId="0" fontId="5" numFmtId="49" xfId="0" applyAlignment="1" applyFont="1" applyNumberFormat="1">
      <alignment shrinkToFit="0" vertical="bottom" wrapText="0"/>
    </xf>
    <xf borderId="0" fillId="0" fontId="5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bottom" wrapText="0"/>
    </xf>
    <xf borderId="0" fillId="0" fontId="5" numFmtId="49" xfId="0" applyAlignment="1" applyFont="1" applyNumberFormat="1">
      <alignment horizontal="left" readingOrder="0" shrinkToFit="0" vertical="top" wrapText="0"/>
    </xf>
    <xf borderId="0" fillId="0" fontId="5" numFmtId="0" xfId="0" applyAlignment="1" applyFont="1">
      <alignment horizontal="left" readingOrder="0" shrinkToFit="0" vertical="top" wrapText="0"/>
    </xf>
    <xf borderId="0" fillId="0" fontId="15" numFmtId="0" xfId="0" applyAlignment="1" applyFont="1">
      <alignment horizontal="right" readingOrder="0" vertical="top"/>
    </xf>
    <xf borderId="0" fillId="0" fontId="15" numFmtId="0" xfId="0" applyAlignment="1" applyFont="1">
      <alignment horizontal="left" readingOrder="0" vertical="top"/>
    </xf>
    <xf borderId="0" fillId="0" fontId="16" numFmtId="49" xfId="0" applyAlignment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15" numFmtId="0" xfId="0" applyAlignment="1" applyFont="1">
      <alignment vertical="top"/>
    </xf>
    <xf borderId="0" fillId="4" fontId="8" numFmtId="0" xfId="0" applyAlignment="1" applyFill="1" applyFont="1">
      <alignment horizontal="right" vertical="bottom"/>
    </xf>
    <xf borderId="0" fillId="4" fontId="8" numFmtId="0" xfId="0" applyAlignment="1" applyFill="1" applyFont="1">
      <alignment horizontal="right" vertical="bottom"/>
    </xf>
    <xf borderId="0" fillId="0" fontId="15" numFmtId="0" xfId="0" applyAlignment="1" applyFont="1">
      <alignment readingOrder="0" vertical="top"/>
    </xf>
    <xf borderId="0" fillId="5" fontId="5" numFmtId="0" xfId="0" applyAlignment="1" applyFill="1" applyFont="1">
      <alignment horizontal="right" shrinkToFit="0" vertical="top" wrapText="0"/>
    </xf>
    <xf borderId="0" fillId="5" fontId="8" numFmtId="0" xfId="0" applyAlignment="1" applyFill="1" applyFont="1">
      <alignment readingOrder="0" shrinkToFit="0" vertical="top" wrapText="0"/>
    </xf>
    <xf borderId="0" fillId="5" fontId="5" numFmtId="0" xfId="0" applyAlignment="1" applyFill="1" applyFont="1">
      <alignment shrinkToFit="0" vertical="top" wrapText="0"/>
    </xf>
    <xf borderId="0" fillId="5" fontId="8" numFmtId="0" xfId="0" applyAlignment="1" applyFill="1" applyFont="1">
      <alignment shrinkToFit="0" vertical="bottom" wrapText="0"/>
    </xf>
    <xf borderId="0" fillId="5" fontId="8" numFmtId="0" xfId="0" applyAlignment="1" applyFill="1" applyFont="1">
      <alignment readingOrder="0" shrinkToFit="0" vertical="bottom" wrapText="0"/>
    </xf>
    <xf borderId="4" fillId="6" fontId="5" numFmtId="0" xfId="0" applyAlignment="1" applyBorder="1" applyFill="1" applyFont="1">
      <alignment shrinkToFit="0" vertical="top" wrapText="0"/>
    </xf>
    <xf borderId="4" fillId="0" fontId="15" numFmtId="0" xfId="0" applyAlignment="1" applyBorder="1" applyFont="1">
      <alignment vertical="top"/>
    </xf>
    <xf borderId="0" fillId="0" fontId="5" numFmtId="0" xfId="0" applyAlignment="1" applyFont="1">
      <alignment readingOrder="0" vertical="top"/>
    </xf>
    <xf borderId="0" fillId="0" fontId="5" numFmtId="0" xfId="0" applyAlignment="1" applyFont="1">
      <alignment horizontal="right" vertical="top"/>
    </xf>
    <xf borderId="0" fillId="0" fontId="5" numFmtId="0" xfId="0" applyAlignment="1" applyFont="1">
      <alignment horizontal="right" readingOrder="0" shrinkToFit="0" vertical="top" wrapText="0"/>
    </xf>
    <xf borderId="4" fillId="7" fontId="5" numFmtId="0" xfId="0" applyAlignment="1" applyBorder="1" applyFill="1" applyFont="1">
      <alignment shrinkToFit="0" vertical="top" wrapText="0"/>
    </xf>
    <xf borderId="0" fillId="0" fontId="5" numFmtId="0" xfId="0" applyAlignment="1" applyFont="1">
      <alignment readingOrder="0" shrinkToFit="0" vertical="top" wrapText="0"/>
    </xf>
    <xf borderId="4" fillId="8" fontId="5" numFmtId="0" xfId="0" applyAlignment="1" applyBorder="1" applyFill="1" applyFont="1">
      <alignment shrinkToFit="0" vertical="top" wrapText="0"/>
    </xf>
    <xf borderId="4" fillId="9" fontId="5" numFmtId="0" xfId="0" applyAlignment="1" applyBorder="1" applyFill="1" applyFont="1">
      <alignment shrinkToFit="0" vertical="top" wrapText="0"/>
    </xf>
    <xf borderId="0" fillId="0" fontId="8" numFmtId="0" xfId="0" applyAlignment="1" applyFont="1">
      <alignment horizontal="right" vertical="bottom"/>
    </xf>
    <xf borderId="4" fillId="7" fontId="8" numFmtId="0" xfId="0" applyAlignment="1" applyBorder="1" applyFill="1" applyFont="1">
      <alignment shrinkToFit="0" vertical="top" wrapText="0"/>
    </xf>
    <xf borderId="4" fillId="6" fontId="8" numFmtId="0" xfId="0" applyAlignment="1" applyBorder="1" applyFill="1" applyFont="1">
      <alignment shrinkToFit="0" vertical="top" wrapText="0"/>
    </xf>
    <xf borderId="0" fillId="0" fontId="8" numFmtId="0" xfId="0" applyAlignment="1" applyFont="1">
      <alignment horizontal="left" readingOrder="0" shrinkToFit="0" vertical="bottom" wrapText="0"/>
    </xf>
    <xf borderId="4" fillId="9" fontId="8" numFmtId="0" xfId="0" applyAlignment="1" applyBorder="1" applyFill="1" applyFont="1">
      <alignment shrinkToFit="0" vertical="top" wrapText="0"/>
    </xf>
    <xf borderId="0" fillId="0" fontId="8" numFmtId="0" xfId="0" applyAlignment="1" applyFont="1">
      <alignment horizontal="right" shrinkToFit="0" vertical="bottom" wrapText="0"/>
    </xf>
    <xf borderId="0" fillId="0" fontId="8" numFmtId="2" xfId="0" applyAlignment="1" applyFont="1" applyNumberFormat="1">
      <alignment shrinkToFit="0" vertical="bottom" wrapText="0"/>
    </xf>
    <xf borderId="0" fillId="0" fontId="5" numFmtId="0" xfId="0" applyAlignment="1" applyFont="1">
      <alignment horizontal="left" readingOrder="0" shrinkToFit="0" vertical="top" wrapText="1"/>
    </xf>
    <xf borderId="0" fillId="0" fontId="8" numFmtId="165" xfId="0" applyAlignment="1" applyFont="1" applyNumberFormat="1">
      <alignment shrinkToFit="0" vertical="bottom" wrapText="0"/>
    </xf>
    <xf borderId="0" fillId="0" fontId="8" numFmtId="0" xfId="0" applyAlignment="1" applyFont="1">
      <alignment horizontal="left" readingOrder="0" shrinkToFit="0" vertical="bottom" wrapText="1"/>
    </xf>
    <xf borderId="5" fillId="0" fontId="5" numFmtId="0" xfId="0" applyAlignment="1" applyBorder="1" applyFont="1">
      <alignment horizontal="right" shrinkToFit="0" vertical="top" wrapText="1"/>
    </xf>
    <xf borderId="5" fillId="0" fontId="8" numFmtId="0" xfId="0" applyAlignment="1" applyBorder="1" applyFont="1">
      <alignment horizontal="right" shrinkToFit="0" vertical="bottom" wrapText="1"/>
    </xf>
    <xf borderId="5" fillId="0" fontId="8" numFmtId="0" xfId="0" applyAlignment="1" applyBorder="1" applyFont="1">
      <alignment shrinkToFit="0" vertical="bottom" wrapText="1"/>
    </xf>
    <xf borderId="5" fillId="0" fontId="8" numFmtId="14" xfId="0" applyAlignment="1" applyBorder="1" applyFont="1" applyNumberFormat="1">
      <alignment horizontal="right" shrinkToFit="0" vertical="bottom" wrapText="1"/>
    </xf>
    <xf borderId="5" fillId="0" fontId="8" numFmtId="49" xfId="0" applyAlignment="1" applyBorder="1" applyFont="1" applyNumberFormat="1">
      <alignment shrinkToFit="0" vertical="bottom" wrapText="1"/>
    </xf>
    <xf borderId="0" fillId="6" fontId="5" numFmtId="0" xfId="0" applyAlignment="1" applyFill="1" applyFont="1">
      <alignment readingOrder="0" shrinkToFit="0" vertical="top" wrapText="0"/>
    </xf>
    <xf borderId="4" fillId="6" fontId="8" numFmtId="0" xfId="0" applyAlignment="1" applyBorder="1" applyFill="1" applyFont="1">
      <alignment horizontal="right" shrinkToFit="0" vertical="bottom" wrapText="0"/>
    </xf>
    <xf borderId="0" fillId="0" fontId="3" numFmtId="0" xfId="0" applyAlignment="1" applyFont="1">
      <alignment horizontal="right" readingOrder="0" shrinkToFit="0" vertical="center" wrapText="0"/>
    </xf>
    <xf borderId="0" fillId="0" fontId="8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3" numFmtId="0" xfId="0" applyAlignment="1" applyFont="1">
      <alignment horizontal="right" readingOrder="0"/>
    </xf>
    <xf borderId="5" fillId="0" fontId="5" numFmtId="0" xfId="0" applyAlignment="1" applyBorder="1" applyFont="1">
      <alignment horizontal="right" shrinkToFit="0" vertical="bottom" wrapText="1"/>
    </xf>
    <xf borderId="0" fillId="10" fontId="8" numFmtId="0" xfId="0" applyAlignment="1" applyFill="1" applyFont="1">
      <alignment horizontal="left" readingOrder="0" shrinkToFit="0" vertical="bottom" wrapText="0"/>
    </xf>
    <xf borderId="0" fillId="0" fontId="17" numFmtId="0" xfId="0" applyAlignment="1" applyFont="1">
      <alignment horizontal="left" readingOrder="0" shrinkToFit="0" vertical="bottom" wrapText="0"/>
    </xf>
    <xf borderId="0" fillId="0" fontId="17" numFmtId="49" xfId="0" applyAlignment="1" applyFont="1" applyNumberFormat="1">
      <alignment horizontal="left" readingOrder="0" shrinkToFit="0" vertical="bottom" wrapText="0"/>
    </xf>
    <xf borderId="0" fillId="10" fontId="8" numFmtId="0" xfId="0" applyAlignment="1" applyFill="1" applyFont="1">
      <alignment horizontal="right" shrinkToFit="0" vertical="bottom" wrapText="0"/>
    </xf>
    <xf borderId="0" fillId="0" fontId="3" numFmtId="0" xfId="0" applyAlignment="1" applyFont="1">
      <alignment horizontal="left" readingOrder="0" shrinkToFit="0" vertical="center" wrapText="0"/>
    </xf>
    <xf borderId="0" fillId="0" fontId="18" numFmtId="165" xfId="0" applyAlignment="1" applyFont="1" applyNumberFormat="1">
      <alignment shrinkToFit="0" vertical="bottom" wrapText="0"/>
    </xf>
    <xf borderId="0" fillId="0" fontId="8" numFmtId="0" xfId="0" applyAlignment="1" applyFont="1">
      <alignment horizontal="right" shrinkToFit="0" vertical="bottom" wrapText="0"/>
    </xf>
    <xf borderId="0" fillId="0" fontId="8" numFmtId="0" xfId="0" applyAlignment="1" applyFont="1">
      <alignment shrinkToFit="0" vertical="bottom" wrapText="0"/>
    </xf>
    <xf borderId="5" fillId="3" fontId="8" numFmtId="14" xfId="0" applyAlignment="1" applyBorder="1" applyFill="1" applyFont="1" applyNumberFormat="1">
      <alignment horizontal="right" shrinkToFit="0" vertical="bottom" wrapText="1"/>
    </xf>
    <xf borderId="0" fillId="0" fontId="6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5" numFmtId="3" xfId="0" applyAlignment="1" applyFont="1" applyNumberFormat="1">
      <alignment horizontal="right" shrinkToFit="0" vertical="bottom" wrapText="0"/>
    </xf>
    <xf borderId="4" fillId="11" fontId="5" numFmtId="3" xfId="0" applyAlignment="1" applyBorder="1" applyFill="1" applyFont="1" applyNumberFormat="1">
      <alignment horizontal="right" shrinkToFit="0" vertical="bottom" wrapText="0"/>
    </xf>
    <xf borderId="4" fillId="12" fontId="5" numFmtId="3" xfId="0" applyAlignment="1" applyBorder="1" applyFill="1" applyFont="1" applyNumberFormat="1">
      <alignment horizontal="right" shrinkToFit="0" vertical="bottom" wrapText="0"/>
    </xf>
    <xf borderId="4" fillId="13" fontId="5" numFmtId="2" xfId="0" applyAlignment="1" applyBorder="1" applyFill="1" applyFont="1" applyNumberFormat="1">
      <alignment shrinkToFit="0" vertical="bottom" wrapText="0"/>
    </xf>
    <xf borderId="4" fillId="12" fontId="5" numFmtId="2" xfId="0" applyAlignment="1" applyBorder="1" applyFill="1" applyFont="1" applyNumberFormat="1">
      <alignment horizontal="right" shrinkToFit="0" vertical="bottom" wrapText="0"/>
    </xf>
    <xf borderId="4" fillId="14" fontId="5" numFmtId="0" xfId="0" applyAlignment="1" applyBorder="1" applyFill="1" applyFont="1">
      <alignment horizontal="right" shrinkToFit="0" vertical="bottom" wrapText="0"/>
    </xf>
    <xf borderId="4" fillId="11" fontId="5" numFmtId="0" xfId="0" applyAlignment="1" applyBorder="1" applyFill="1" applyFont="1">
      <alignment horizontal="right" shrinkToFit="0" vertical="bottom" wrapText="0"/>
    </xf>
    <xf borderId="4" fillId="12" fontId="5" numFmtId="0" xfId="0" applyAlignment="1" applyBorder="1" applyFill="1" applyFont="1">
      <alignment horizontal="right" shrinkToFit="0" vertical="bottom" wrapText="0"/>
    </xf>
    <xf borderId="4" fillId="12" fontId="5" numFmtId="0" xfId="0" applyAlignment="1" applyBorder="1" applyFill="1" applyFont="1">
      <alignment shrinkToFit="0" vertical="bottom" wrapText="0"/>
    </xf>
    <xf borderId="5" fillId="3" fontId="8" numFmtId="0" xfId="0" applyAlignment="1" applyBorder="1" applyFill="1" applyFont="1">
      <alignment shrinkToFit="0" vertical="bottom" wrapText="0"/>
    </xf>
    <xf borderId="5" fillId="0" fontId="8" numFmtId="0" xfId="0" applyAlignment="1" applyBorder="1" applyFont="1">
      <alignment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  <xf borderId="4" fillId="11" fontId="5" numFmtId="165" xfId="0" applyAlignment="1" applyBorder="1" applyFill="1" applyFont="1" applyNumberFormat="1">
      <alignment shrinkToFit="0" vertical="bottom" wrapText="0"/>
    </xf>
    <xf borderId="4" fillId="12" fontId="5" numFmtId="2" xfId="0" applyAlignment="1" applyBorder="1" applyFill="1" applyFont="1" applyNumberFormat="1">
      <alignment shrinkToFit="0" vertical="bottom" wrapText="0"/>
    </xf>
    <xf borderId="0" fillId="0" fontId="5" numFmtId="14" xfId="0" applyAlignment="1" applyFont="1" applyNumberFormat="1">
      <alignment shrinkToFit="0" vertical="bottom" wrapText="0"/>
    </xf>
    <xf borderId="0" fillId="6" fontId="5" numFmtId="0" xfId="0" applyAlignment="1" applyFill="1" applyFont="1">
      <alignment horizontal="right" shrinkToFit="0" vertical="bottom" wrapText="0"/>
    </xf>
    <xf borderId="0" fillId="6" fontId="5" numFmtId="0" xfId="0" applyAlignment="1" applyFill="1" applyFont="1">
      <alignment shrinkToFit="0" vertical="bottom" wrapText="0"/>
    </xf>
    <xf borderId="0" fillId="6" fontId="6" numFmtId="0" xfId="0" applyAlignment="1" applyFill="1" applyFont="1">
      <alignment shrinkToFit="0" vertical="bottom" wrapText="0"/>
    </xf>
    <xf borderId="0" fillId="6" fontId="5" numFmtId="165" xfId="0" applyAlignment="1" applyFill="1" applyFont="1" applyNumberFormat="1">
      <alignment horizontal="right" shrinkToFit="0" vertical="bottom" wrapText="0"/>
    </xf>
    <xf borderId="4" fillId="6" fontId="5" numFmtId="165" xfId="0" applyAlignment="1" applyBorder="1" applyFill="1" applyFont="1" applyNumberFormat="1">
      <alignment shrinkToFit="0" vertical="bottom" wrapText="0"/>
    </xf>
    <xf borderId="4" fillId="6" fontId="5" numFmtId="0" xfId="0" applyAlignment="1" applyBorder="1" applyFill="1" applyFont="1">
      <alignment horizontal="right" shrinkToFit="0" vertical="bottom" wrapText="0"/>
    </xf>
    <xf borderId="4" fillId="6" fontId="5" numFmtId="2" xfId="0" applyAlignment="1" applyBorder="1" applyFill="1" applyFont="1" applyNumberFormat="1">
      <alignment shrinkToFit="0" vertical="bottom" wrapText="0"/>
    </xf>
    <xf borderId="4" fillId="6" fontId="5" numFmtId="2" xfId="0" applyAlignment="1" applyBorder="1" applyFill="1" applyFont="1" applyNumberFormat="1">
      <alignment horizontal="right" shrinkToFit="0" vertical="bottom" wrapText="0"/>
    </xf>
    <xf borderId="4" fillId="6" fontId="5" numFmtId="0" xfId="0" applyAlignment="1" applyBorder="1" applyFill="1" applyFont="1">
      <alignment horizontal="right" readingOrder="0" shrinkToFit="0" vertical="bottom" wrapText="0"/>
    </xf>
    <xf borderId="0" fillId="6" fontId="3" numFmtId="0" xfId="0" applyFill="1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ont/>
      <fill>
        <patternFill patternType="solid">
          <fgColor rgb="FF0035FF"/>
          <bgColor rgb="FF0035FF"/>
        </patternFill>
      </fill>
      <border/>
    </dxf>
    <dxf>
      <font/>
      <fill>
        <patternFill patternType="solid">
          <fgColor rgb="FF0040FF"/>
          <bgColor rgb="FF0040F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002BFF"/>
          <bgColor rgb="FF002BFF"/>
        </patternFill>
      </fill>
      <border/>
    </dxf>
  </dxfs>
  <tableStyles count="17">
    <tableStyle count="4" pivot="0" name="Tables Sour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oint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Soil type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Ownership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Farms categorization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2" pivot="0" name="Farms categorization-style 2">
      <tableStyleElement dxfId="2" type="firstRowStripe"/>
      <tableStyleElement dxfId="3" type="secondRowStripe"/>
    </tableStyle>
    <tableStyle count="4" pivot="0" name="Land Use-style">
      <tableStyleElement dxfId="8" type="headerRow"/>
      <tableStyleElement dxfId="2" type="firstRowStripe"/>
      <tableStyleElement dxfId="3" type="secondRowStripe"/>
      <tableStyleElement dxfId="4" size="0" type="wholeTable"/>
    </tableStyle>
    <tableStyle count="2" pivot="0" name="Land Use-style 2">
      <tableStyleElement dxfId="2" type="firstRowStripe"/>
      <tableStyleElement dxfId="3" type="secondRowStripe"/>
    </tableStyle>
    <tableStyle count="4" pivot="0" name="FactEnzymes 0-10cm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FactBD 0-30cm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FactManagement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Soil Moisture (summer)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FactGodwits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Fungi diversity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SOM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POM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MAOM-style">
      <tableStyleElement dxfId="7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6" displayName="Tables_source" name="Tables_source" id="1">
  <tableColumns count="3">
    <tableColumn name="Table_ID" id="1"/>
    <tableColumn name="explanation" id="2"/>
    <tableColumn name="read_csv_link" id="3"/>
  </tableColumns>
  <tableStyleInfo name="Tables Source-style" showColumnStripes="0" showFirstColumn="1" showLastColumn="1" showRowStripes="1"/>
</table>
</file>

<file path=xl/tables/table2.xml><?xml version="1.0" encoding="utf-8"?>
<table xmlns="http://schemas.openxmlformats.org/spreadsheetml/2006/main" ref="A1:G35" displayName="Table1" name="Table1" id="2">
  <tableColumns count="7">
    <tableColumn name="Plot" id="1"/>
    <tableColumn name="Lattitude" id="2"/>
    <tableColumn name="Longitude" id="3"/>
    <tableColumn name="Size(ha)" id="4"/>
    <tableColumn name="GoogleMapsLink" id="5"/>
    <tableColumn name="SamplingDate1" id="6"/>
    <tableColumn name="SamplingDate2" id="7"/>
  </tableColumns>
  <tableStyleInfo name="Points-style" showColumnStripes="0" showFirstColumn="1" showLastColumn="1" showRowStripes="1"/>
</table>
</file>

<file path=xl/tables/table3.xml><?xml version="1.0" encoding="utf-8"?>
<table xmlns="http://schemas.openxmlformats.org/spreadsheetml/2006/main" ref="A1:D35" displayName="Table2" name="Table2" id="3">
  <tableColumns count="4">
    <tableColumn name="Plot" id="1"/>
    <tableColumn name="Type" id="2"/>
    <tableColumn name="Soil_mestwet" id="3"/>
    <tableColumn name="SoilType" id="4"/>
  </tableColumns>
  <tableStyleInfo name="Soil type-style" showColumnStripes="0" showFirstColumn="1" showLastColumn="1" showRowStripes="1"/>
</table>
</file>

<file path=xl/tables/table4.xml><?xml version="1.0" encoding="utf-8"?>
<table xmlns="http://schemas.openxmlformats.org/spreadsheetml/2006/main" ref="A1:F35" displayName="Table3" name="Table3" id="4">
  <autoFilter ref="$A$1:$F$35"/>
  <tableColumns count="6">
    <tableColumn name="Plot" id="1"/>
    <tableColumn name="Owner" id="2"/>
    <tableColumn name="Contact Person" id="3"/>
    <tableColumn name="phone/email" id="4"/>
    <tableColumn name="Collective" id="5"/>
    <tableColumn name="Natura2000" id="6"/>
  </tableColumns>
  <tableStyleInfo name="Ownership-style" showColumnStripes="0" showFirstColumn="1" showLastColumn="1" showRowStripes="1"/>
</table>
</file>

<file path=xl/tables/table5.xml><?xml version="1.0" encoding="utf-8"?>
<table xmlns="http://schemas.openxmlformats.org/spreadsheetml/2006/main" ref="A1:F35" displayName="Table12" name="Table12" id="5">
  <autoFilter ref="$A$1:$F$35"/>
  <tableColumns count="6">
    <tableColumn name="Plot" id="1"/>
    <tableColumn name="Owner" id="2"/>
    <tableColumn name="meadowtype" id="3"/>
    <tableColumn name="ManagedYesNo" id="4"/>
    <tableColumn name="Management type " id="5"/>
    <tableColumn name="AES " id="6"/>
  </tableColumns>
  <tableStyleInfo name="Farms categorization-style" showColumnStripes="0" showFirstColumn="1" showLastColumn="1" showRowStripes="1"/>
</table>
</file>

<file path=xl/tables/table6.xml><?xml version="1.0" encoding="utf-8"?>
<table xmlns="http://schemas.openxmlformats.org/spreadsheetml/2006/main" headerRowCount="0" ref="H4:I9" displayName="Table_1" name="Table_1" id="6">
  <tableColumns count="2">
    <tableColumn name="Column1" id="1"/>
    <tableColumn name="Column2" id="2"/>
  </tableColumns>
  <tableStyleInfo name="Farms categorization-style 2" showColumnStripes="0" showFirstColumn="1" showLastColumn="1" showRowStripes="1"/>
</table>
</file>

<file path=xl/tables/table7.xml><?xml version="1.0" encoding="utf-8"?>
<table xmlns="http://schemas.openxmlformats.org/spreadsheetml/2006/main" ref="A1:D35" displayName="Table4" name="Table4" id="7">
  <autoFilter ref="$A$1:$D$35"/>
  <tableColumns count="4">
    <tableColumn name="Plot" id="1"/>
    <tableColumn name="MeadowID" id="2"/>
    <tableColumn name="meadowtype" id="3"/>
    <tableColumn name="Management type" id="4"/>
  </tableColumns>
  <tableStyleInfo name="Land Use-style" showColumnStripes="0" showFirstColumn="1" showLastColumn="1" showRowStripes="1"/>
</table>
</file>

<file path=xl/tables/table8.xml><?xml version="1.0" encoding="utf-8"?>
<table xmlns="http://schemas.openxmlformats.org/spreadsheetml/2006/main" headerRowCount="0" ref="F9:F14" displayName="Table_2" name="Table_2" id="8">
  <tableColumns count="1">
    <tableColumn name="Column1" id="1"/>
  </tableColumns>
  <tableStyleInfo name="Land Use-style 2" showColumnStripes="0" showFirstColumn="1" showLastColumn="1" showRowStripes="1"/>
</table>
</file>

<file path=xl/tables/table9.xml><?xml version="1.0" encoding="utf-8"?>
<table xmlns="http://schemas.openxmlformats.org/spreadsheetml/2006/main" ref="A1:G103" displayName="Table5" name="Table5" id="9">
  <tableColumns count="7">
    <tableColumn name="Plot" id="1"/>
    <tableColumn name="Replicate" id="2"/>
    <tableColumn name="aryl_sul (ug/g dry soil/hour)" id="3"/>
    <tableColumn name="ac_fos (ug/g dry soil/hour)" id="4"/>
    <tableColumn name="beta_glu (ug/g dry soil/hour)" id="5"/>
    <tableColumn name="Urease (μg NH4/g soil/hour)" id="6"/>
    <tableColumn name="pH" id="7"/>
  </tableColumns>
  <tableStyleInfo name="FactEnzymes 0-10cm-style" showColumnStripes="0" showFirstColumn="1" showLastColumn="1" showRowStripes="1"/>
</table>
</file>

<file path=xl/tables/table10.xml><?xml version="1.0" encoding="utf-8"?>
<table xmlns="http://schemas.openxmlformats.org/spreadsheetml/2006/main" ref="A1:G205" displayName="Table6" name="Table6" id="10">
  <tableColumns count="7">
    <tableColumn name="Plot" id="1"/>
    <tableColumn name="Replicate" id="2"/>
    <tableColumn name="core" id="3"/>
    <tableColumn name="depth" id="4"/>
    <tableColumn name="sampleID" id="5"/>
    <tableColumn name="proces_date" id="6"/>
    <tableColumn name="BD" id="7"/>
  </tableColumns>
  <tableStyleInfo name="FactBD 0-30cm-style" showColumnStripes="0" showFirstColumn="1" showLastColumn="1" showRowStripes="1"/>
</table>
</file>

<file path=xl/tables/table11.xml><?xml version="1.0" encoding="utf-8"?>
<table xmlns="http://schemas.openxmlformats.org/spreadsheetml/2006/main" ref="A1:J35" displayName="Table7" name="Table7" id="11">
  <tableColumns count="10">
    <tableColumn name="Plot" id="1"/>
    <tableColumn name="Last_tillage" id="2"/>
    <tableColumn name="Artificial_Fert" id="3"/>
    <tableColumn name="Slurry" id="4"/>
    <tableColumn name="Solid_manure" id="5"/>
    <tableColumn name="Fertilizer" id="6"/>
    <tableColumn name="Grazing" id="7"/>
    <tableColumn name="Mowing" id="8"/>
    <tableColumn name="Nature" id="9"/>
    <tableColumn name="Waterlevel" id="10"/>
  </tableColumns>
  <tableStyleInfo name="FactManagement-style" showColumnStripes="0" showFirstColumn="1" showLastColumn="1" showRowStripes="1"/>
</table>
</file>

<file path=xl/tables/table12.xml><?xml version="1.0" encoding="utf-8"?>
<table xmlns="http://schemas.openxmlformats.org/spreadsheetml/2006/main" ref="A1:B35" displayName="Table13" name="Table13" id="12">
  <tableColumns count="2">
    <tableColumn name="Plot" id="1"/>
    <tableColumn name="Mean Moisture (%DS)" id="2"/>
  </tableColumns>
  <tableStyleInfo name="Soil Moisture (summer)-style" showColumnStripes="0" showFirstColumn="1" showLastColumn="1" showRowStripes="1"/>
</table>
</file>

<file path=xl/tables/table13.xml><?xml version="1.0" encoding="utf-8"?>
<table xmlns="http://schemas.openxmlformats.org/spreadsheetml/2006/main" ref="A1:P50" displayName="Table8" name="Table8" id="13">
  <autoFilter ref="$A$1:$P$50">
    <filterColumn colId="10">
      <filters>
        <filter val="2.319973731"/>
        <filter val="1.861306192"/>
        <filter val="1.270417433"/>
        <filter val="1.699166"/>
        <filter val="0.1443500115"/>
        <filter val="1.480163827"/>
        <filter val="0.5709261041"/>
        <filter val="1.056209571"/>
        <filter val="0.406185318"/>
        <filter val="0.3345276439"/>
        <filter val="0"/>
        <filter val="1.015992815"/>
        <filter val="0.2620813038"/>
        <filter val="0.7075009068"/>
        <filter val="0.5529874536"/>
        <filter val="0.0808478861"/>
      </filters>
    </filterColumn>
  </autoFilter>
  <tableColumns count="16">
    <tableColumn name="Plot" id="1"/>
    <tableColumn name="GodwitDensity" id="2"/>
    <tableColumn name="HA" id="3"/>
    <tableColumn name="Area" id="4"/>
    <tableColumn name="Peremiter" id="5"/>
    <tableColumn name="X" id="6"/>
    <tableColumn name="Y" id="7"/>
    <tableColumn name="YEAR" id="8"/>
    <tableColumn name="MeadowHa" id="9"/>
    <tableColumn name="Territorials" id="10"/>
    <tableColumn name="TerritorialsPerHa" id="11"/>
    <tableColumn name="Column 16" id="12"/>
    <tableColumn name="ManagedYesNo" id="13"/>
    <tableColumn name="IncomePerHa" id="14"/>
    <tableColumn name="PackagesNumber" id="15"/>
    <tableColumn name="group" id="16"/>
  </tableColumns>
  <tableStyleInfo name="FactGodwits-style" showColumnStripes="0" showFirstColumn="1" showLastColumn="1" showRowStripes="1"/>
</table>
</file>

<file path=xl/tables/table14.xml><?xml version="1.0" encoding="utf-8"?>
<table xmlns="http://schemas.openxmlformats.org/spreadsheetml/2006/main" ref="A1:J103" displayName="Table14" name="Table14" id="14">
  <tableColumns count="10">
    <tableColumn name="Plot" id="1"/>
    <tableColumn name="Sample" id="2"/>
    <tableColumn name="Richness" id="3"/>
    <tableColumn name="Shannon" id="4"/>
    <tableColumn name="Simpson" id="5"/>
    <tableColumn name="Pielou" id="6"/>
    <tableColumn name="Richness_SRS" id="7"/>
    <tableColumn name="s" id="8"/>
    <tableColumn name="Simpson_SRS" id="9"/>
    <tableColumn name="Pielou_SRS" id="10"/>
  </tableColumns>
  <tableStyleInfo name="Fungi diversity-style" showColumnStripes="0" showFirstColumn="1" showLastColumn="1" showRowStripes="1"/>
</table>
</file>

<file path=xl/tables/table15.xml><?xml version="1.0" encoding="utf-8"?>
<table xmlns="http://schemas.openxmlformats.org/spreadsheetml/2006/main" ref="A1:M103" displayName="Table9" name="Table9" id="15">
  <tableColumns count="13">
    <tableColumn name="Field Number" id="1"/>
    <tableColumn name="Replicate" id="2"/>
    <tableColumn name="Burning date" id="3"/>
    <tableColumn name="Capsule" id="4"/>
    <tableColumn name="Capsule_Tare" id="5"/>
    <tableColumn name="Soil_Net_60 (g)" id="6"/>
    <tableColumn name="Soil_Gross_105 (g)" id="7"/>
    <tableColumn name="Soil_Net_105 (g)" id="8"/>
    <tableColumn name="Ashes_Gross (g)" id="9"/>
    <tableColumn name="Ashes_Net (g)" id="10"/>
    <tableColumn name="SOM (g/kg soil)" id="11"/>
    <tableColumn name="SOM_Average (g/kg soil)" id="12"/>
    <tableColumn name="Ashes (%)" id="13"/>
  </tableColumns>
  <tableStyleInfo name="SOM-style" showColumnStripes="0" showFirstColumn="1" showLastColumn="1" showRowStripes="1"/>
</table>
</file>

<file path=xl/tables/table16.xml><?xml version="1.0" encoding="utf-8"?>
<table xmlns="http://schemas.openxmlformats.org/spreadsheetml/2006/main" ref="A1:R103" displayName="Table10" name="Table10" id="16">
  <tableColumns count="18">
    <tableColumn name="Field Number" id="1"/>
    <tableColumn name="Replicate" id="2"/>
    <tableColumn name="Burning date" id="3"/>
    <tableColumn name="Jar Nº" id="4"/>
    <tableColumn name="Soil_Net (g)" id="5"/>
    <tableColumn name="Soil_Net_105_corrected (g)" id="6"/>
    <tableColumn name="Capsule Nº" id="7"/>
    <tableColumn name="Capsule Tare" id="8"/>
    <tableColumn name="Dried_Coarse_Fraction_Gross (g)" id="9"/>
    <tableColumn name="Dried_Coarse_Fraction_NET (g)" id="10"/>
    <tableColumn name="Ashes_Gross (g)" id="11"/>
    <tableColumn name="Ashes_Net (g)" id="12"/>
    <tableColumn name="POM (g/kg soil)" id="13"/>
    <tableColumn name="POM_Average (g/kg soil)" id="14"/>
    <tableColumn name="Total_Ashes (%)" id="15"/>
    <tableColumn name="Sand (%)" id="16"/>
    <tableColumn name="Clay+silt (%)" id="17"/>
    <tableColumn name="Clay+Silt_Average (%) " id="18"/>
  </tableColumns>
  <tableStyleInfo name="POM-style" showColumnStripes="0" showFirstColumn="1" showLastColumn="1" showRowStripes="1"/>
</table>
</file>

<file path=xl/tables/table17.xml><?xml version="1.0" encoding="utf-8"?>
<table xmlns="http://schemas.openxmlformats.org/spreadsheetml/2006/main" ref="A1:C103" displayName="Table11" name="Table11" id="17">
  <tableColumns count="3">
    <tableColumn name="Field number" id="1"/>
    <tableColumn name="Replicate" id="2"/>
    <tableColumn name="MAOM (g/kg)" id="3"/>
  </tableColumns>
  <tableStyleInfo name="MAO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b.p.prack.mccormick@rug.nl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Pc59ZJTg8LHCrCSjGJh5OfJrLX7u69Er_kCkicbP7mY/edit?gid=250711603" TargetMode="External"/><Relationship Id="rId10" Type="http://schemas.openxmlformats.org/officeDocument/2006/relationships/hyperlink" Target="https://docs.google.com/spreadsheets/d/1Pc59ZJTg8LHCrCSjGJh5OfJrLX7u69Er_kCkicbP7mY/edit?gid=914427057" TargetMode="External"/><Relationship Id="rId13" Type="http://schemas.openxmlformats.org/officeDocument/2006/relationships/hyperlink" Target="https://docs.google.com/spreadsheets/d/1Pc59ZJTg8LHCrCSjGJh5OfJrLX7u69Er_kCkicbP7mY/edit?gid=735710415" TargetMode="External"/><Relationship Id="rId12" Type="http://schemas.openxmlformats.org/officeDocument/2006/relationships/hyperlink" Target="https://docs.google.com/spreadsheets/d/1Pc59ZJTg8LHCrCSjGJh5OfJrLX7u69Er_kCkicbP7mY/edit?gid=1946457497" TargetMode="External"/><Relationship Id="rId1" Type="http://schemas.openxmlformats.org/officeDocument/2006/relationships/hyperlink" Target="https://docs.google.com/spreadsheets/d/1Pc59ZJTg8LHCrCSjGJh5OfJrLX7u69Er_kCkicbP7mY/edit?gid=0" TargetMode="External"/><Relationship Id="rId2" Type="http://schemas.openxmlformats.org/officeDocument/2006/relationships/hyperlink" Target="https://docs.google.com/spreadsheets/d/1Pc59ZJTg8LHCrCSjGJh5OfJrLX7u69Er_kCkicbP7mY/edit?gid=563558566" TargetMode="External"/><Relationship Id="rId3" Type="http://schemas.openxmlformats.org/officeDocument/2006/relationships/hyperlink" Target="https://docs.google.com/spreadsheets/d/1Pc59ZJTg8LHCrCSjGJh5OfJrLX7u69Er_kCkicbP7mY/edit?gid=158925398" TargetMode="External"/><Relationship Id="rId4" Type="http://schemas.openxmlformats.org/officeDocument/2006/relationships/hyperlink" Target="https://docs.google.com/spreadsheets/d/1Pc59ZJTg8LHCrCSjGJh5OfJrLX7u69Er_kCkicbP7mY/edit?gid=1600072753" TargetMode="External"/><Relationship Id="rId9" Type="http://schemas.openxmlformats.org/officeDocument/2006/relationships/hyperlink" Target="https://docs.google.com/spreadsheets/d/1Pc59ZJTg8LHCrCSjGJh5OfJrLX7u69Er_kCkicbP7mY/edit?gid=2025662198" TargetMode="External"/><Relationship Id="rId14" Type="http://schemas.openxmlformats.org/officeDocument/2006/relationships/drawing" Target="../drawings/drawing3.xml"/><Relationship Id="rId16" Type="http://schemas.openxmlformats.org/officeDocument/2006/relationships/table" Target="../tables/table1.xml"/><Relationship Id="rId5" Type="http://schemas.openxmlformats.org/officeDocument/2006/relationships/hyperlink" Target="https://docs.google.com/spreadsheets/d/1Pc59ZJTg8LHCrCSjGJh5OfJrLX7u69Er_kCkicbP7mY/edit?gid=321392057" TargetMode="External"/><Relationship Id="rId6" Type="http://schemas.openxmlformats.org/officeDocument/2006/relationships/hyperlink" Target="https://docs.google.com/spreadsheets/d/1Pc59ZJTg8LHCrCSjGJh5OfJrLX7u69Er_kCkicbP7mY/edit?gid=268592532" TargetMode="External"/><Relationship Id="rId7" Type="http://schemas.openxmlformats.org/officeDocument/2006/relationships/hyperlink" Target="https://docs.google.com/spreadsheets/d/1Pc59ZJTg8LHCrCSjGJh5OfJrLX7u69Er_kCkicbP7mY/edit?gid=1233139346" TargetMode="External"/><Relationship Id="rId8" Type="http://schemas.openxmlformats.org/officeDocument/2006/relationships/hyperlink" Target="https://docs.google.com/spreadsheets/d/1Pc59ZJTg8LHCrCSjGJh5OfJrLX7u69Er_kCkicbP7mY/edit?gid=1103075516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goo.gl/maps/jYqSn7nzaY4KiJKd7" TargetMode="External"/><Relationship Id="rId22" Type="http://schemas.openxmlformats.org/officeDocument/2006/relationships/hyperlink" Target="https://goo.gl/maps/W8ziEZ4mtesWkbPM6" TargetMode="External"/><Relationship Id="rId21" Type="http://schemas.openxmlformats.org/officeDocument/2006/relationships/hyperlink" Target="https://goo.gl/maps/ZztjfaFhecRYsB6H8" TargetMode="External"/><Relationship Id="rId24" Type="http://schemas.openxmlformats.org/officeDocument/2006/relationships/hyperlink" Target="https://goo.gl/maps/aEBeAyTSCuyrRUsL6" TargetMode="External"/><Relationship Id="rId23" Type="http://schemas.openxmlformats.org/officeDocument/2006/relationships/hyperlink" Target="https://goo.gl/maps/otfTDaq9TLawfkJZ7" TargetMode="External"/><Relationship Id="rId1" Type="http://schemas.openxmlformats.org/officeDocument/2006/relationships/hyperlink" Target="https://goo.gl/maps/4JGSVtjpVH8Wj1CU8" TargetMode="External"/><Relationship Id="rId2" Type="http://schemas.openxmlformats.org/officeDocument/2006/relationships/hyperlink" Target="https://goo.gl/maps/HoRjj9upF38WpkUXA" TargetMode="External"/><Relationship Id="rId3" Type="http://schemas.openxmlformats.org/officeDocument/2006/relationships/hyperlink" Target="https://goo.gl/maps/u3JRNBe2NPadhALv8" TargetMode="External"/><Relationship Id="rId4" Type="http://schemas.openxmlformats.org/officeDocument/2006/relationships/hyperlink" Target="https://goo.gl/maps/nBmhfJsK7Sxrydzm8" TargetMode="External"/><Relationship Id="rId9" Type="http://schemas.openxmlformats.org/officeDocument/2006/relationships/hyperlink" Target="https://goo.gl/maps/ghx3mGsvbxZmqWQX7" TargetMode="External"/><Relationship Id="rId26" Type="http://schemas.openxmlformats.org/officeDocument/2006/relationships/hyperlink" Target="https://maps.app.goo.gl/N3FBDWygLpYedYLv9" TargetMode="External"/><Relationship Id="rId25" Type="http://schemas.openxmlformats.org/officeDocument/2006/relationships/hyperlink" Target="https://goo.gl/maps/iVwiF9wRZBu6u7gt8" TargetMode="External"/><Relationship Id="rId28" Type="http://schemas.openxmlformats.org/officeDocument/2006/relationships/hyperlink" Target="https://maps.app.goo.gl/jvdqJHcr5jkdrQLr5" TargetMode="External"/><Relationship Id="rId27" Type="http://schemas.openxmlformats.org/officeDocument/2006/relationships/hyperlink" Target="https://maps.app.goo.gl/KMRBGfDv6jXohN3k8" TargetMode="External"/><Relationship Id="rId5" Type="http://schemas.openxmlformats.org/officeDocument/2006/relationships/hyperlink" Target="https://goo.gl/maps/fhoHpHkHpAr8M3hf7" TargetMode="External"/><Relationship Id="rId6" Type="http://schemas.openxmlformats.org/officeDocument/2006/relationships/hyperlink" Target="https://goo.gl/maps/hCBKyKATpvKHUAT18" TargetMode="External"/><Relationship Id="rId29" Type="http://schemas.openxmlformats.org/officeDocument/2006/relationships/hyperlink" Target="https://maps.app.goo.gl/nymH1WWGbGBWz4gD8" TargetMode="External"/><Relationship Id="rId7" Type="http://schemas.openxmlformats.org/officeDocument/2006/relationships/hyperlink" Target="https://goo.gl/maps/7oGQrhte8j17Y5838" TargetMode="External"/><Relationship Id="rId8" Type="http://schemas.openxmlformats.org/officeDocument/2006/relationships/hyperlink" Target="https://goo.gl/maps/C7p2PECFtJtsMGsb8" TargetMode="External"/><Relationship Id="rId31" Type="http://schemas.openxmlformats.org/officeDocument/2006/relationships/hyperlink" Target="https://maps.app.goo.gl/CRUDF5V693TUXh2V7" TargetMode="External"/><Relationship Id="rId30" Type="http://schemas.openxmlformats.org/officeDocument/2006/relationships/hyperlink" Target="https://maps.app.goo.gl/2Vvou9ck1HTxEGX87" TargetMode="External"/><Relationship Id="rId11" Type="http://schemas.openxmlformats.org/officeDocument/2006/relationships/hyperlink" Target="https://goo.gl/maps/FQs9N9UdxA1rZPky9" TargetMode="External"/><Relationship Id="rId33" Type="http://schemas.openxmlformats.org/officeDocument/2006/relationships/hyperlink" Target="https://maps.app.goo.gl/yEX6gTMG5TRsJupYA" TargetMode="External"/><Relationship Id="rId10" Type="http://schemas.openxmlformats.org/officeDocument/2006/relationships/hyperlink" Target="https://goo.gl/maps/DZYapX2gdCHVvvbN7" TargetMode="External"/><Relationship Id="rId32" Type="http://schemas.openxmlformats.org/officeDocument/2006/relationships/hyperlink" Target="https://maps.app.goo.gl/EqRujtQhtTDrDn2z5" TargetMode="External"/><Relationship Id="rId13" Type="http://schemas.openxmlformats.org/officeDocument/2006/relationships/hyperlink" Target="https://goo.gl/maps/wJBa8xfu1YMPJo5X7" TargetMode="External"/><Relationship Id="rId35" Type="http://schemas.openxmlformats.org/officeDocument/2006/relationships/drawing" Target="../drawings/drawing5.xml"/><Relationship Id="rId12" Type="http://schemas.openxmlformats.org/officeDocument/2006/relationships/hyperlink" Target="https://goo.gl/maps/FzEKeGqgcvctREQr8" TargetMode="External"/><Relationship Id="rId34" Type="http://schemas.openxmlformats.org/officeDocument/2006/relationships/hyperlink" Target="https://maps.app.goo.gl/ZoizHFxiKzAaAPYw5" TargetMode="External"/><Relationship Id="rId15" Type="http://schemas.openxmlformats.org/officeDocument/2006/relationships/hyperlink" Target="https://goo.gl/maps/Jym7aMAambciPLAbA" TargetMode="External"/><Relationship Id="rId37" Type="http://schemas.openxmlformats.org/officeDocument/2006/relationships/table" Target="../tables/table2.xml"/><Relationship Id="rId14" Type="http://schemas.openxmlformats.org/officeDocument/2006/relationships/hyperlink" Target="https://goo.gl/maps/cQiUCZdbN5LxY5Eq5" TargetMode="External"/><Relationship Id="rId17" Type="http://schemas.openxmlformats.org/officeDocument/2006/relationships/hyperlink" Target="https://goo.gl/maps/wN4izQBTT4NkfRjB6" TargetMode="External"/><Relationship Id="rId16" Type="http://schemas.openxmlformats.org/officeDocument/2006/relationships/hyperlink" Target="https://goo.gl/maps/SKaV9sA7du4v4npJ7" TargetMode="External"/><Relationship Id="rId19" Type="http://schemas.openxmlformats.org/officeDocument/2006/relationships/hyperlink" Target="https://goo.gl/maps/K3KTmHpaQq3M94yD7" TargetMode="External"/><Relationship Id="rId18" Type="http://schemas.openxmlformats.org/officeDocument/2006/relationships/hyperlink" Target="https://goo.gl/maps/BkQVsb4JqRSCwmUf7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0612723823/D.Venema@staatsbosbeheer.nl" TargetMode="External"/><Relationship Id="rId2" Type="http://schemas.openxmlformats.org/officeDocument/2006/relationships/hyperlink" Target="mailto:0612723823/D.Venema@staatsbosbeheer.nl" TargetMode="External"/><Relationship Id="rId3" Type="http://schemas.openxmlformats.org/officeDocument/2006/relationships/hyperlink" Target="mailto:0612723823/D.Venema@staatsbosbeheer.nl" TargetMode="External"/><Relationship Id="rId4" Type="http://schemas.openxmlformats.org/officeDocument/2006/relationships/hyperlink" Target="mailto:0612723823/D.Venema@staatsbosbeheer.nl" TargetMode="External"/><Relationship Id="rId9" Type="http://schemas.openxmlformats.org/officeDocument/2006/relationships/table" Target="../tables/table4.xml"/><Relationship Id="rId5" Type="http://schemas.openxmlformats.org/officeDocument/2006/relationships/hyperlink" Target="mailto:0612723823/D.Venema@staatsbosbeheer.nl" TargetMode="External"/><Relationship Id="rId6" Type="http://schemas.openxmlformats.org/officeDocument/2006/relationships/hyperlink" Target="mailto:0612723823/D.Venema@staatsbosbeheer.nl" TargetMode="External"/><Relationship Id="rId7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3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5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6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39.0"/>
  </cols>
  <sheetData>
    <row r="1">
      <c r="A1" s="5" t="s">
        <v>1</v>
      </c>
      <c r="B1" s="7" t="s">
        <v>18</v>
      </c>
    </row>
    <row r="2">
      <c r="A2" s="9" t="s">
        <v>20</v>
      </c>
      <c r="B2" s="10"/>
      <c r="D2" s="11"/>
      <c r="E2" s="3"/>
    </row>
    <row r="3">
      <c r="A3" s="9" t="s">
        <v>29</v>
      </c>
      <c r="B3" s="10" t="s">
        <v>30</v>
      </c>
      <c r="E3" s="3"/>
    </row>
    <row r="4">
      <c r="A4" s="13" t="s">
        <v>31</v>
      </c>
      <c r="B4" s="10" t="s">
        <v>32</v>
      </c>
      <c r="G4" s="14"/>
      <c r="H4" s="15"/>
    </row>
    <row r="5">
      <c r="A5" s="9" t="s">
        <v>37</v>
      </c>
      <c r="B5" s="10" t="s">
        <v>38</v>
      </c>
      <c r="E5" s="16"/>
      <c r="F5" s="16"/>
      <c r="G5" s="16"/>
    </row>
    <row r="6">
      <c r="A6" s="9" t="s">
        <v>41</v>
      </c>
      <c r="B6" s="18" t="s">
        <v>42</v>
      </c>
      <c r="E6" s="16"/>
      <c r="F6" s="16"/>
      <c r="G6" s="16"/>
    </row>
    <row r="7">
      <c r="A7" s="10"/>
      <c r="B7" s="10"/>
      <c r="E7" s="13"/>
    </row>
    <row r="8">
      <c r="A8" s="9" t="s">
        <v>68</v>
      </c>
      <c r="B8" s="7" t="s">
        <v>70</v>
      </c>
    </row>
    <row r="9">
      <c r="A9" s="9" t="s">
        <v>72</v>
      </c>
      <c r="B9" s="10" t="s">
        <v>73</v>
      </c>
    </row>
    <row r="10">
      <c r="A10" s="9" t="s">
        <v>74</v>
      </c>
      <c r="B10" s="10" t="s">
        <v>76</v>
      </c>
    </row>
    <row r="11">
      <c r="A11" s="9" t="s">
        <v>78</v>
      </c>
      <c r="B11" s="10" t="s">
        <v>79</v>
      </c>
    </row>
    <row r="12">
      <c r="A12" s="9" t="s">
        <v>81</v>
      </c>
      <c r="B12" s="10" t="s">
        <v>38</v>
      </c>
    </row>
    <row r="13">
      <c r="A13" s="11" t="s">
        <v>84</v>
      </c>
      <c r="B13" s="21" t="s">
        <v>89</v>
      </c>
    </row>
  </sheetData>
  <hyperlinks>
    <hyperlink r:id="rId1" ref="B6"/>
    <hyperlink display="https://docs.google.com/spreadsheets/d/1Pc59ZJTg8LHCrCSjGJh5OfJrLX7u69Er_kCkicbP7mY/edit?gid=0#gid=0" location="'Study Info'!A1" ref="B1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1" t="s">
        <v>3</v>
      </c>
    </row>
    <row r="2" ht="29.25" customHeight="1">
      <c r="A2" s="3" t="s">
        <v>4</v>
      </c>
      <c r="B2" s="3" t="s">
        <v>6</v>
      </c>
    </row>
    <row r="3">
      <c r="A3" s="3" t="s">
        <v>7</v>
      </c>
      <c r="B3" s="3" t="s">
        <v>8</v>
      </c>
    </row>
    <row r="4">
      <c r="A4" s="3" t="s">
        <v>9</v>
      </c>
      <c r="B4" s="3" t="s">
        <v>10</v>
      </c>
    </row>
    <row r="5">
      <c r="A5" s="3" t="s">
        <v>11</v>
      </c>
      <c r="B5" s="3" t="s">
        <v>13</v>
      </c>
    </row>
    <row r="6">
      <c r="A6" s="3" t="s">
        <v>14</v>
      </c>
      <c r="B6" s="3" t="s">
        <v>15</v>
      </c>
    </row>
    <row r="7">
      <c r="A7" s="3" t="s">
        <v>16</v>
      </c>
      <c r="B7" s="3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43.88"/>
    <col customWidth="1" min="3" max="3" width="75.75"/>
  </cols>
  <sheetData>
    <row r="1" ht="22.5" customHeight="1">
      <c r="A1" s="20" t="s">
        <v>5</v>
      </c>
      <c r="B1" s="20" t="s">
        <v>12</v>
      </c>
      <c r="C1" s="20" t="s">
        <v>95</v>
      </c>
    </row>
    <row r="2" ht="22.5" customHeight="1">
      <c r="A2" s="22" t="s">
        <v>97</v>
      </c>
      <c r="B2" s="22" t="s">
        <v>104</v>
      </c>
      <c r="C2" s="25" t="s">
        <v>89</v>
      </c>
    </row>
    <row r="3" ht="22.5" customHeight="1">
      <c r="A3" s="22" t="s">
        <v>144</v>
      </c>
      <c r="B3" s="22" t="s">
        <v>147</v>
      </c>
      <c r="C3" s="25" t="s">
        <v>152</v>
      </c>
    </row>
    <row r="4" ht="22.5" customHeight="1">
      <c r="A4" s="22" t="s">
        <v>164</v>
      </c>
      <c r="B4" s="22" t="s">
        <v>165</v>
      </c>
      <c r="C4" s="25" t="s">
        <v>166</v>
      </c>
    </row>
    <row r="5" ht="22.5" customHeight="1">
      <c r="A5" s="22" t="s">
        <v>167</v>
      </c>
      <c r="B5" s="22" t="s">
        <v>168</v>
      </c>
      <c r="C5" s="27"/>
    </row>
    <row r="6" ht="22.5" customHeight="1">
      <c r="A6" s="22" t="s">
        <v>24</v>
      </c>
      <c r="B6" s="22" t="s">
        <v>169</v>
      </c>
      <c r="C6" s="25" t="s">
        <v>170</v>
      </c>
    </row>
    <row r="7" ht="22.5" customHeight="1">
      <c r="A7" s="22" t="s">
        <v>171</v>
      </c>
      <c r="B7" s="22" t="s">
        <v>172</v>
      </c>
      <c r="C7" s="25" t="s">
        <v>173</v>
      </c>
    </row>
    <row r="8" ht="22.5" customHeight="1">
      <c r="A8" s="22" t="s">
        <v>16</v>
      </c>
      <c r="B8" s="22" t="s">
        <v>175</v>
      </c>
      <c r="C8" s="29" t="s">
        <v>176</v>
      </c>
    </row>
    <row r="9" ht="22.5" customHeight="1">
      <c r="A9" s="22" t="s">
        <v>57</v>
      </c>
      <c r="B9" s="22" t="s">
        <v>178</v>
      </c>
      <c r="C9" s="25" t="s">
        <v>179</v>
      </c>
    </row>
    <row r="10" ht="22.5" customHeight="1">
      <c r="A10" s="22" t="s">
        <v>181</v>
      </c>
      <c r="B10" s="22" t="s">
        <v>182</v>
      </c>
      <c r="C10" s="25" t="s">
        <v>183</v>
      </c>
    </row>
    <row r="11" ht="22.5" customHeight="1">
      <c r="A11" s="22" t="s">
        <v>86</v>
      </c>
      <c r="B11" s="22" t="s">
        <v>186</v>
      </c>
      <c r="C11" s="25" t="s">
        <v>187</v>
      </c>
    </row>
    <row r="12" ht="22.5" customHeight="1">
      <c r="A12" s="22" t="s">
        <v>110</v>
      </c>
      <c r="B12" s="22" t="s">
        <v>189</v>
      </c>
      <c r="C12" s="25" t="s">
        <v>190</v>
      </c>
    </row>
    <row r="13" ht="22.5" customHeight="1">
      <c r="A13" s="22" t="s">
        <v>113</v>
      </c>
      <c r="B13" s="22" t="s">
        <v>193</v>
      </c>
      <c r="C13" s="25" t="s">
        <v>194</v>
      </c>
    </row>
    <row r="14" ht="22.5" customHeight="1">
      <c r="A14" s="22" t="s">
        <v>116</v>
      </c>
      <c r="B14" s="22" t="s">
        <v>197</v>
      </c>
      <c r="C14" s="25" t="s">
        <v>199</v>
      </c>
    </row>
    <row r="15" ht="22.5" customHeight="1">
      <c r="A15" s="22" t="s">
        <v>135</v>
      </c>
      <c r="B15" s="22" t="s">
        <v>206</v>
      </c>
      <c r="C15" s="25" t="s">
        <v>208</v>
      </c>
    </row>
    <row r="16" ht="22.5" customHeight="1">
      <c r="A16" s="22" t="s">
        <v>162</v>
      </c>
      <c r="B16" s="22" t="s">
        <v>214</v>
      </c>
      <c r="C16" s="25" t="s">
        <v>215</v>
      </c>
    </row>
  </sheetData>
  <hyperlinks>
    <hyperlink r:id="rId1" location="gid=0" ref="C2"/>
    <hyperlink r:id="rId2" location="gid=563558566" ref="C3"/>
    <hyperlink r:id="rId3" location="gid=158925398" ref="C4"/>
    <hyperlink r:id="rId4" location="gid=1600072753" ref="C6"/>
    <hyperlink r:id="rId5" location="gid=321392057" ref="C7"/>
    <hyperlink display="https://docs.google.com/spreadsheets/d/1Pc59ZJTg8LHCrCSjGJh5OfJrLX7u69Er_kCkicbP7mY/edit?gid=341591005#gid=341591005" location="Ownership!A1" ref="C8"/>
    <hyperlink r:id="rId6" location="gid=268592532" ref="C9"/>
    <hyperlink r:id="rId7" location="gid=1233139346" ref="C10"/>
    <hyperlink r:id="rId8" location="gid=1103075516" ref="C11"/>
    <hyperlink r:id="rId9" location="gid=2025662198" ref="C12"/>
    <hyperlink r:id="rId10" location="gid=914427057" ref="C13"/>
    <hyperlink r:id="rId11" location="gid=250711603" ref="C14"/>
    <hyperlink r:id="rId12" location="gid=1946457497" ref="C15"/>
    <hyperlink r:id="rId13" location="gid=735710415" ref="C16"/>
  </hyperlinks>
  <drawing r:id="rId14"/>
  <tableParts count="1">
    <tablePart r:id="rId1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21.25"/>
    <col customWidth="1" min="3" max="3" width="57.38"/>
    <col customWidth="1" min="4" max="4" width="19.13"/>
    <col customWidth="1" min="5" max="5" width="3.63"/>
    <col customWidth="1" min="6" max="6" width="4.75"/>
    <col customWidth="1" min="7" max="7" width="27.5"/>
  </cols>
  <sheetData>
    <row r="1">
      <c r="A1" s="2" t="s">
        <v>2</v>
      </c>
      <c r="B1" s="4" t="s">
        <v>5</v>
      </c>
      <c r="C1" s="6" t="s">
        <v>12</v>
      </c>
    </row>
    <row r="2">
      <c r="A2" s="8" t="s">
        <v>19</v>
      </c>
      <c r="B2" s="8" t="s">
        <v>21</v>
      </c>
      <c r="C2" s="8" t="s">
        <v>22</v>
      </c>
    </row>
    <row r="3">
      <c r="A3" s="8" t="s">
        <v>23</v>
      </c>
      <c r="B3" s="8" t="s">
        <v>24</v>
      </c>
      <c r="C3" s="8" t="s">
        <v>25</v>
      </c>
    </row>
    <row r="4">
      <c r="A4" s="8" t="s">
        <v>26</v>
      </c>
      <c r="C4" s="8" t="s">
        <v>25</v>
      </c>
    </row>
    <row r="5">
      <c r="A5" s="8" t="s">
        <v>27</v>
      </c>
      <c r="C5" s="8" t="s">
        <v>28</v>
      </c>
      <c r="E5" s="12"/>
      <c r="F5" s="12"/>
      <c r="G5" s="12"/>
      <c r="H5" s="12"/>
      <c r="I5" s="12"/>
      <c r="J5" s="12"/>
    </row>
    <row r="6">
      <c r="A6" s="8" t="s">
        <v>33</v>
      </c>
      <c r="C6" s="8" t="s">
        <v>34</v>
      </c>
    </row>
    <row r="7">
      <c r="A7" s="8" t="s">
        <v>35</v>
      </c>
      <c r="C7" s="14" t="s">
        <v>36</v>
      </c>
      <c r="I7" s="12"/>
      <c r="J7" s="12"/>
      <c r="K7" s="12"/>
    </row>
    <row r="8">
      <c r="A8" s="8" t="s">
        <v>39</v>
      </c>
      <c r="C8" s="17" t="s">
        <v>40</v>
      </c>
    </row>
    <row r="9">
      <c r="A9" s="8" t="s">
        <v>43</v>
      </c>
      <c r="B9" s="8" t="s">
        <v>44</v>
      </c>
      <c r="C9" s="8" t="s">
        <v>45</v>
      </c>
    </row>
    <row r="10">
      <c r="A10" s="8" t="s">
        <v>46</v>
      </c>
      <c r="C10" s="8" t="s">
        <v>47</v>
      </c>
      <c r="H10" s="12"/>
      <c r="I10" s="12"/>
      <c r="J10" s="12"/>
    </row>
    <row r="11">
      <c r="A11" s="8" t="s">
        <v>48</v>
      </c>
      <c r="C11" s="8" t="s">
        <v>49</v>
      </c>
    </row>
    <row r="12">
      <c r="A12" s="8" t="s">
        <v>50</v>
      </c>
      <c r="B12" s="8" t="s">
        <v>16</v>
      </c>
      <c r="C12" s="8" t="s">
        <v>51</v>
      </c>
    </row>
    <row r="13">
      <c r="A13" s="8" t="s">
        <v>52</v>
      </c>
      <c r="C13" s="8" t="s">
        <v>53</v>
      </c>
      <c r="H13" s="12"/>
      <c r="I13" s="12"/>
      <c r="J13" s="12"/>
      <c r="K13" s="12"/>
      <c r="L13" s="12"/>
    </row>
    <row r="14">
      <c r="A14" s="8" t="s">
        <v>54</v>
      </c>
      <c r="C14" s="8" t="s">
        <v>55</v>
      </c>
    </row>
    <row r="15">
      <c r="A15" s="8" t="s">
        <v>56</v>
      </c>
      <c r="B15" s="8" t="s">
        <v>57</v>
      </c>
      <c r="C15" s="8" t="s">
        <v>58</v>
      </c>
    </row>
    <row r="16">
      <c r="A16" s="8" t="s">
        <v>59</v>
      </c>
      <c r="C16" s="8" t="s">
        <v>60</v>
      </c>
    </row>
    <row r="17">
      <c r="A17" s="8" t="s">
        <v>61</v>
      </c>
      <c r="C17" s="8" t="s">
        <v>62</v>
      </c>
    </row>
    <row r="18">
      <c r="A18" s="8" t="s">
        <v>63</v>
      </c>
      <c r="C18" s="8" t="s">
        <v>64</v>
      </c>
    </row>
    <row r="19" ht="15.75" customHeight="1">
      <c r="A19" s="8" t="s">
        <v>65</v>
      </c>
      <c r="B19" s="8" t="s">
        <v>66</v>
      </c>
      <c r="C19" s="19" t="s">
        <v>67</v>
      </c>
    </row>
    <row r="20">
      <c r="A20" s="8" t="s">
        <v>69</v>
      </c>
      <c r="C20" s="17" t="s">
        <v>71</v>
      </c>
    </row>
    <row r="21">
      <c r="A21" s="8" t="s">
        <v>75</v>
      </c>
      <c r="C21" s="14" t="s">
        <v>77</v>
      </c>
    </row>
    <row r="22">
      <c r="A22" s="8" t="s">
        <v>80</v>
      </c>
      <c r="C22" s="8" t="s">
        <v>82</v>
      </c>
    </row>
    <row r="23">
      <c r="A23" s="8" t="s">
        <v>83</v>
      </c>
      <c r="C23" s="8" t="s">
        <v>83</v>
      </c>
    </row>
    <row r="24">
      <c r="A24" s="8" t="s">
        <v>85</v>
      </c>
      <c r="B24" s="8" t="s">
        <v>86</v>
      </c>
      <c r="C24" s="8" t="s">
        <v>87</v>
      </c>
    </row>
    <row r="25">
      <c r="A25" s="8" t="s">
        <v>88</v>
      </c>
      <c r="B25" s="8" t="s">
        <v>90</v>
      </c>
      <c r="C25" s="17" t="s">
        <v>91</v>
      </c>
    </row>
    <row r="26">
      <c r="A26" s="8" t="s">
        <v>92</v>
      </c>
      <c r="C26" s="17" t="s">
        <v>93</v>
      </c>
    </row>
    <row r="27">
      <c r="A27" s="8" t="s">
        <v>94</v>
      </c>
      <c r="C27" s="17" t="s">
        <v>93</v>
      </c>
      <c r="E27" s="12"/>
      <c r="F27" s="12"/>
      <c r="G27" s="12"/>
      <c r="H27" s="12"/>
      <c r="I27" s="12"/>
      <c r="J27" s="12"/>
      <c r="K27" s="12"/>
      <c r="L27" s="12"/>
      <c r="M27" s="12"/>
    </row>
    <row r="28">
      <c r="A28" s="8" t="s">
        <v>96</v>
      </c>
      <c r="C28" s="17" t="s">
        <v>93</v>
      </c>
      <c r="D28" s="15"/>
    </row>
    <row r="29">
      <c r="A29" s="8" t="s">
        <v>98</v>
      </c>
      <c r="C29" s="17" t="s">
        <v>99</v>
      </c>
      <c r="D29" s="15"/>
    </row>
    <row r="30">
      <c r="A30" s="8" t="s">
        <v>100</v>
      </c>
      <c r="C30" s="14" t="s">
        <v>101</v>
      </c>
    </row>
    <row r="31">
      <c r="A31" s="8" t="s">
        <v>102</v>
      </c>
      <c r="C31" s="14" t="s">
        <v>103</v>
      </c>
    </row>
    <row r="32">
      <c r="A32" s="8" t="s">
        <v>105</v>
      </c>
      <c r="C32" s="14" t="s">
        <v>106</v>
      </c>
    </row>
    <row r="33">
      <c r="A33" s="8" t="s">
        <v>107</v>
      </c>
      <c r="C33" s="14" t="s">
        <v>108</v>
      </c>
    </row>
    <row r="34">
      <c r="A34" s="8" t="s">
        <v>109</v>
      </c>
      <c r="B34" s="8" t="s">
        <v>110</v>
      </c>
      <c r="C34" s="14" t="s">
        <v>111</v>
      </c>
    </row>
    <row r="35">
      <c r="A35" s="23" t="s">
        <v>112</v>
      </c>
      <c r="B35" s="8" t="s">
        <v>113</v>
      </c>
      <c r="C35" s="17" t="s">
        <v>114</v>
      </c>
    </row>
    <row r="36">
      <c r="A36" s="8" t="s">
        <v>115</v>
      </c>
      <c r="B36" s="8" t="s">
        <v>116</v>
      </c>
      <c r="C36" s="17" t="s">
        <v>117</v>
      </c>
    </row>
    <row r="37">
      <c r="A37" s="8" t="s">
        <v>118</v>
      </c>
      <c r="C37" s="17" t="s">
        <v>119</v>
      </c>
    </row>
    <row r="38">
      <c r="A38" s="8" t="s">
        <v>120</v>
      </c>
      <c r="C38" s="17" t="s">
        <v>121</v>
      </c>
    </row>
    <row r="39">
      <c r="A39" s="8" t="s">
        <v>122</v>
      </c>
      <c r="C39" s="17" t="s">
        <v>123</v>
      </c>
    </row>
    <row r="40">
      <c r="A40" s="8" t="s">
        <v>124</v>
      </c>
      <c r="C40" s="24" t="s">
        <v>125</v>
      </c>
      <c r="D40" s="12"/>
      <c r="E40" s="12"/>
      <c r="F40" s="12"/>
      <c r="G40" s="12"/>
    </row>
    <row r="41">
      <c r="A41" s="8" t="s">
        <v>126</v>
      </c>
      <c r="C41" s="24" t="s">
        <v>127</v>
      </c>
    </row>
    <row r="42">
      <c r="A42" s="8" t="s">
        <v>128</v>
      </c>
      <c r="C42" s="24" t="s">
        <v>129</v>
      </c>
    </row>
    <row r="43">
      <c r="A43" s="8" t="s">
        <v>130</v>
      </c>
      <c r="B43" s="12"/>
      <c r="C43" s="24" t="s">
        <v>131</v>
      </c>
      <c r="D43" s="12"/>
      <c r="E43" s="12"/>
      <c r="F43" s="12"/>
      <c r="G43" s="12"/>
      <c r="H43" s="12"/>
      <c r="I43" s="12"/>
      <c r="J43" s="12"/>
    </row>
    <row r="44">
      <c r="A44" s="8" t="s">
        <v>132</v>
      </c>
      <c r="C44" s="24" t="s">
        <v>133</v>
      </c>
    </row>
    <row r="45">
      <c r="A45" s="8" t="s">
        <v>134</v>
      </c>
      <c r="B45" s="8" t="s">
        <v>135</v>
      </c>
      <c r="C45" s="24" t="s">
        <v>136</v>
      </c>
    </row>
    <row r="46">
      <c r="A46" s="8" t="s">
        <v>137</v>
      </c>
      <c r="C46" s="8" t="s">
        <v>138</v>
      </c>
      <c r="D46" s="12"/>
      <c r="E46" s="12"/>
    </row>
    <row r="47">
      <c r="A47" s="8" t="s">
        <v>139</v>
      </c>
      <c r="C47" s="8" t="s">
        <v>117</v>
      </c>
      <c r="D47" s="12"/>
      <c r="E47" s="11"/>
      <c r="G47" s="12"/>
    </row>
    <row r="48">
      <c r="A48" s="8" t="s">
        <v>140</v>
      </c>
      <c r="C48" s="8" t="s">
        <v>141</v>
      </c>
    </row>
    <row r="49">
      <c r="A49" s="8" t="s">
        <v>142</v>
      </c>
      <c r="C49" s="26" t="s">
        <v>143</v>
      </c>
    </row>
    <row r="50">
      <c r="A50" s="8" t="s">
        <v>145</v>
      </c>
      <c r="C50" s="8" t="s">
        <v>146</v>
      </c>
    </row>
    <row r="51">
      <c r="A51" s="8" t="s">
        <v>126</v>
      </c>
      <c r="C51" s="8" t="s">
        <v>148</v>
      </c>
    </row>
    <row r="52">
      <c r="A52" s="8" t="s">
        <v>149</v>
      </c>
      <c r="C52" s="8" t="s">
        <v>150</v>
      </c>
    </row>
    <row r="53">
      <c r="A53" s="8" t="s">
        <v>151</v>
      </c>
      <c r="C53" s="8" t="s">
        <v>153</v>
      </c>
    </row>
    <row r="54">
      <c r="A54" s="8" t="s">
        <v>154</v>
      </c>
      <c r="C54" s="24" t="s">
        <v>133</v>
      </c>
    </row>
    <row r="55">
      <c r="A55" s="8" t="s">
        <v>155</v>
      </c>
      <c r="C55" s="8" t="s">
        <v>156</v>
      </c>
    </row>
    <row r="56">
      <c r="A56" s="8" t="s">
        <v>157</v>
      </c>
      <c r="C56" s="8" t="s">
        <v>158</v>
      </c>
    </row>
    <row r="57">
      <c r="A57" s="8" t="s">
        <v>159</v>
      </c>
      <c r="C57" s="8" t="s">
        <v>160</v>
      </c>
    </row>
    <row r="58">
      <c r="A58" s="8" t="s">
        <v>161</v>
      </c>
      <c r="B58" s="8" t="s">
        <v>162</v>
      </c>
      <c r="C58" s="8" t="s">
        <v>163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38"/>
    <col customWidth="1" min="3" max="3" width="16.13"/>
    <col customWidth="1" min="5" max="5" width="35.38"/>
    <col customWidth="1" min="6" max="6" width="20.0"/>
    <col customWidth="1" min="7" max="7" width="21.13"/>
  </cols>
  <sheetData>
    <row r="1" ht="22.5" customHeight="1">
      <c r="A1" s="28" t="s">
        <v>19</v>
      </c>
      <c r="B1" s="28" t="s">
        <v>174</v>
      </c>
      <c r="C1" s="28" t="s">
        <v>26</v>
      </c>
      <c r="D1" s="28" t="s">
        <v>177</v>
      </c>
      <c r="E1" s="28" t="s">
        <v>33</v>
      </c>
      <c r="F1" s="30" t="s">
        <v>35</v>
      </c>
      <c r="G1" s="30" t="s">
        <v>39</v>
      </c>
    </row>
    <row r="2" ht="22.5" customHeight="1">
      <c r="A2" s="31">
        <v>1.0</v>
      </c>
      <c r="B2" s="32">
        <v>53.0146388888888</v>
      </c>
      <c r="C2" s="32">
        <v>5.43441666666666</v>
      </c>
      <c r="D2" s="33">
        <v>6.0</v>
      </c>
      <c r="E2" s="34" t="s">
        <v>180</v>
      </c>
      <c r="F2" s="33" t="s">
        <v>184</v>
      </c>
      <c r="G2" s="33" t="s">
        <v>185</v>
      </c>
    </row>
    <row r="3" ht="22.5" customHeight="1">
      <c r="A3" s="31">
        <v>2.0</v>
      </c>
      <c r="B3" s="32">
        <v>52.9103888888888</v>
      </c>
      <c r="C3" s="32">
        <v>5.42897222222222</v>
      </c>
      <c r="D3" s="33">
        <v>3.0</v>
      </c>
      <c r="E3" s="34" t="s">
        <v>188</v>
      </c>
      <c r="F3" s="33" t="s">
        <v>184</v>
      </c>
      <c r="G3" s="33" t="s">
        <v>191</v>
      </c>
    </row>
    <row r="4" ht="22.5" customHeight="1">
      <c r="A4" s="31">
        <v>3.0</v>
      </c>
      <c r="B4" s="32">
        <v>52.9272777777777</v>
      </c>
      <c r="C4" s="32">
        <v>5.47008333333333</v>
      </c>
      <c r="D4" s="33">
        <v>4.0</v>
      </c>
      <c r="E4" s="34" t="s">
        <v>192</v>
      </c>
      <c r="F4" s="33" t="s">
        <v>184</v>
      </c>
      <c r="G4" s="33" t="s">
        <v>191</v>
      </c>
    </row>
    <row r="5" ht="22.5" customHeight="1">
      <c r="A5" s="31">
        <v>4.0</v>
      </c>
      <c r="B5" s="32">
        <v>52.89325</v>
      </c>
      <c r="C5" s="32">
        <v>5.39880555555555</v>
      </c>
      <c r="D5" s="33">
        <v>9.0</v>
      </c>
      <c r="E5" s="34" t="s">
        <v>196</v>
      </c>
      <c r="F5" s="33" t="s">
        <v>184</v>
      </c>
      <c r="G5" s="33" t="s">
        <v>191</v>
      </c>
    </row>
    <row r="6" ht="22.5" customHeight="1">
      <c r="A6" s="31">
        <v>5.0</v>
      </c>
      <c r="B6" s="32">
        <v>52.9784444444444</v>
      </c>
      <c r="C6" s="37">
        <v>5.43836111111111</v>
      </c>
      <c r="D6" s="33">
        <v>3.0</v>
      </c>
      <c r="E6" s="34" t="s">
        <v>204</v>
      </c>
      <c r="F6" s="33" t="s">
        <v>210</v>
      </c>
      <c r="G6" s="33" t="s">
        <v>211</v>
      </c>
    </row>
    <row r="7" ht="22.5" customHeight="1">
      <c r="A7" s="31">
        <v>6.0</v>
      </c>
      <c r="B7" s="32">
        <v>53.0088888888888</v>
      </c>
      <c r="C7" s="32">
        <v>5.42252777777777</v>
      </c>
      <c r="D7" s="33">
        <v>8.0</v>
      </c>
      <c r="E7" s="34" t="s">
        <v>213</v>
      </c>
      <c r="F7" s="33" t="s">
        <v>210</v>
      </c>
      <c r="G7" s="33" t="s">
        <v>216</v>
      </c>
    </row>
    <row r="8" ht="22.5" customHeight="1">
      <c r="A8" s="31">
        <v>7.0</v>
      </c>
      <c r="B8" s="32">
        <v>53.0068333333333</v>
      </c>
      <c r="C8" s="32">
        <v>5.43283333333333</v>
      </c>
      <c r="D8" s="33">
        <v>1.0</v>
      </c>
      <c r="E8" s="34" t="s">
        <v>218</v>
      </c>
      <c r="F8" s="33" t="s">
        <v>210</v>
      </c>
      <c r="G8" s="33" t="s">
        <v>211</v>
      </c>
    </row>
    <row r="9" ht="22.5" customHeight="1">
      <c r="A9" s="31">
        <v>8.0</v>
      </c>
      <c r="B9" s="32">
        <v>52.9550555555555</v>
      </c>
      <c r="C9" s="32">
        <v>5.41955555555555</v>
      </c>
      <c r="D9" s="33">
        <v>2.0</v>
      </c>
      <c r="E9" s="34" t="s">
        <v>221</v>
      </c>
      <c r="F9" s="33" t="s">
        <v>210</v>
      </c>
      <c r="G9" s="33" t="s">
        <v>222</v>
      </c>
    </row>
    <row r="10" ht="22.5" customHeight="1">
      <c r="A10" s="31">
        <v>9.0</v>
      </c>
      <c r="B10" s="32">
        <v>52.9585</v>
      </c>
      <c r="C10" s="32">
        <v>5.41775</v>
      </c>
      <c r="D10" s="33">
        <v>15.0</v>
      </c>
      <c r="E10" s="34" t="s">
        <v>223</v>
      </c>
      <c r="F10" s="33" t="s">
        <v>210</v>
      </c>
      <c r="G10" s="33" t="s">
        <v>222</v>
      </c>
    </row>
    <row r="11" ht="22.5" customHeight="1">
      <c r="A11" s="31">
        <v>10.0</v>
      </c>
      <c r="B11" s="32">
        <v>52.9336666666666</v>
      </c>
      <c r="C11" s="32">
        <v>5.44455555555555</v>
      </c>
      <c r="D11" s="33">
        <v>4.0</v>
      </c>
      <c r="E11" s="34" t="s">
        <v>228</v>
      </c>
      <c r="F11" s="33" t="s">
        <v>230</v>
      </c>
      <c r="G11" s="33" t="s">
        <v>216</v>
      </c>
    </row>
    <row r="12" ht="22.5" customHeight="1">
      <c r="A12" s="31">
        <v>11.0</v>
      </c>
      <c r="B12" s="32">
        <v>52.9376111111111</v>
      </c>
      <c r="C12" s="32">
        <v>5.42836111111111</v>
      </c>
      <c r="D12" s="33">
        <v>4.0</v>
      </c>
      <c r="E12" s="34" t="s">
        <v>232</v>
      </c>
      <c r="F12" s="33" t="s">
        <v>230</v>
      </c>
      <c r="G12" s="33" t="s">
        <v>216</v>
      </c>
    </row>
    <row r="13" ht="22.5" customHeight="1">
      <c r="A13" s="31">
        <v>12.0</v>
      </c>
      <c r="B13" s="32">
        <v>52.9424166666666</v>
      </c>
      <c r="C13" s="32">
        <v>5.42813888888888</v>
      </c>
      <c r="D13" s="33">
        <v>5.0</v>
      </c>
      <c r="E13" s="34" t="s">
        <v>238</v>
      </c>
      <c r="F13" s="33" t="s">
        <v>230</v>
      </c>
      <c r="G13" s="33" t="s">
        <v>216</v>
      </c>
    </row>
    <row r="14" ht="22.5" customHeight="1">
      <c r="A14" s="31">
        <v>13.0</v>
      </c>
      <c r="B14" s="32">
        <v>52.9299444444444</v>
      </c>
      <c r="C14" s="32">
        <v>5.44305555555555</v>
      </c>
      <c r="D14" s="33">
        <v>7.0</v>
      </c>
      <c r="E14" s="34" t="s">
        <v>240</v>
      </c>
      <c r="F14" s="33" t="s">
        <v>230</v>
      </c>
      <c r="G14" s="33" t="s">
        <v>216</v>
      </c>
    </row>
    <row r="15" ht="22.5" customHeight="1">
      <c r="A15" s="31">
        <v>14.0</v>
      </c>
      <c r="B15" s="32">
        <v>53.0358333333333</v>
      </c>
      <c r="C15" s="32">
        <v>5.48955555555555</v>
      </c>
      <c r="D15" s="33">
        <v>4.0</v>
      </c>
      <c r="E15" s="34" t="s">
        <v>247</v>
      </c>
      <c r="F15" s="33" t="s">
        <v>249</v>
      </c>
      <c r="G15" s="33" t="s">
        <v>250</v>
      </c>
    </row>
    <row r="16" ht="22.5" customHeight="1">
      <c r="A16" s="31">
        <v>15.0</v>
      </c>
      <c r="B16" s="32">
        <v>53.03725</v>
      </c>
      <c r="C16" s="32">
        <v>5.491</v>
      </c>
      <c r="D16" s="33">
        <v>2.0</v>
      </c>
      <c r="E16" s="34" t="s">
        <v>251</v>
      </c>
      <c r="F16" s="33" t="s">
        <v>249</v>
      </c>
      <c r="G16" s="33" t="s">
        <v>250</v>
      </c>
    </row>
    <row r="17" ht="22.5" customHeight="1">
      <c r="A17" s="31">
        <v>16.0</v>
      </c>
      <c r="B17" s="32">
        <v>53.0404722222222</v>
      </c>
      <c r="C17" s="32">
        <v>5.49022222222222</v>
      </c>
      <c r="D17" s="33">
        <v>3.0</v>
      </c>
      <c r="E17" s="34" t="s">
        <v>256</v>
      </c>
      <c r="F17" s="33" t="s">
        <v>249</v>
      </c>
      <c r="G17" s="33" t="s">
        <v>250</v>
      </c>
    </row>
    <row r="18" ht="22.5" customHeight="1">
      <c r="A18" s="31">
        <v>17.0</v>
      </c>
      <c r="B18" s="32">
        <v>53.0702777777777</v>
      </c>
      <c r="C18" s="32">
        <v>5.43613888888888</v>
      </c>
      <c r="D18" s="33">
        <v>9.0</v>
      </c>
      <c r="E18" s="34" t="s">
        <v>260</v>
      </c>
      <c r="F18" s="33" t="s">
        <v>249</v>
      </c>
      <c r="G18" s="40" t="s">
        <v>185</v>
      </c>
    </row>
    <row r="19" ht="22.5" customHeight="1">
      <c r="A19" s="31">
        <v>18.0</v>
      </c>
      <c r="B19" s="32">
        <v>53.0715833333333</v>
      </c>
      <c r="C19" s="32">
        <v>5.43725</v>
      </c>
      <c r="D19" s="33">
        <v>1.0</v>
      </c>
      <c r="E19" s="34" t="s">
        <v>270</v>
      </c>
      <c r="F19" s="33" t="s">
        <v>249</v>
      </c>
      <c r="G19" s="40" t="s">
        <v>185</v>
      </c>
    </row>
    <row r="20" ht="22.5" customHeight="1">
      <c r="A20" s="31">
        <v>19.0</v>
      </c>
      <c r="B20" s="32">
        <v>53.0770277777777</v>
      </c>
      <c r="C20" s="32">
        <v>5.41002777777777</v>
      </c>
      <c r="D20" s="33">
        <v>6.0</v>
      </c>
      <c r="E20" s="34" t="s">
        <v>276</v>
      </c>
      <c r="F20" s="33" t="s">
        <v>249</v>
      </c>
      <c r="G20" s="40" t="s">
        <v>185</v>
      </c>
    </row>
    <row r="21" ht="22.5" customHeight="1">
      <c r="A21" s="31">
        <v>20.0</v>
      </c>
      <c r="B21" s="32">
        <v>52.9890555555555</v>
      </c>
      <c r="C21" s="32">
        <v>5.51761111111111</v>
      </c>
      <c r="D21" s="33">
        <v>2.0</v>
      </c>
      <c r="E21" s="34" t="s">
        <v>280</v>
      </c>
      <c r="F21" s="33" t="s">
        <v>281</v>
      </c>
      <c r="G21" s="40" t="s">
        <v>185</v>
      </c>
    </row>
    <row r="22" ht="22.5" customHeight="1">
      <c r="A22" s="31">
        <v>21.0</v>
      </c>
      <c r="B22" s="32">
        <v>52.9853055555555</v>
      </c>
      <c r="C22" s="32">
        <v>5.51413888888888</v>
      </c>
      <c r="D22" s="33">
        <v>1.0</v>
      </c>
      <c r="E22" s="34" t="s">
        <v>285</v>
      </c>
      <c r="F22" s="33" t="s">
        <v>281</v>
      </c>
      <c r="G22" s="40" t="s">
        <v>185</v>
      </c>
    </row>
    <row r="23" ht="22.5" customHeight="1">
      <c r="A23" s="31">
        <v>22.0</v>
      </c>
      <c r="B23" s="32">
        <v>52.9849166666666</v>
      </c>
      <c r="C23" s="32">
        <v>5.51377777777777</v>
      </c>
      <c r="D23" s="33">
        <v>4.0</v>
      </c>
      <c r="E23" s="34" t="s">
        <v>290</v>
      </c>
      <c r="F23" s="33" t="s">
        <v>281</v>
      </c>
      <c r="G23" s="40" t="s">
        <v>185</v>
      </c>
    </row>
    <row r="24" ht="22.5" customHeight="1">
      <c r="A24" s="31">
        <v>23.0</v>
      </c>
      <c r="B24" s="32">
        <v>52.9981666666666</v>
      </c>
      <c r="C24" s="32">
        <v>5.49816666666666</v>
      </c>
      <c r="D24" s="33">
        <v>3.0</v>
      </c>
      <c r="E24" s="34" t="s">
        <v>292</v>
      </c>
      <c r="F24" s="33" t="s">
        <v>281</v>
      </c>
      <c r="G24" s="33" t="s">
        <v>211</v>
      </c>
    </row>
    <row r="25" ht="22.5" customHeight="1">
      <c r="A25" s="31">
        <v>24.0</v>
      </c>
      <c r="B25" s="32">
        <v>52.9963888888888</v>
      </c>
      <c r="C25" s="32">
        <v>5.49547222222222</v>
      </c>
      <c r="D25" s="33">
        <v>3.0</v>
      </c>
      <c r="E25" s="34" t="s">
        <v>295</v>
      </c>
      <c r="F25" s="33" t="s">
        <v>281</v>
      </c>
      <c r="G25" s="33" t="s">
        <v>211</v>
      </c>
    </row>
    <row r="26" ht="22.5" customHeight="1">
      <c r="A26" s="31">
        <v>25.0</v>
      </c>
      <c r="B26" s="32">
        <v>53.0018333333333</v>
      </c>
      <c r="C26" s="32">
        <v>5.45825</v>
      </c>
      <c r="D26" s="33">
        <v>2.0</v>
      </c>
      <c r="E26" s="34" t="s">
        <v>299</v>
      </c>
      <c r="F26" s="33" t="s">
        <v>281</v>
      </c>
      <c r="G26" s="33" t="s">
        <v>211</v>
      </c>
    </row>
    <row r="27" ht="22.5" customHeight="1">
      <c r="A27" s="31">
        <v>26.0</v>
      </c>
      <c r="B27" s="32">
        <v>52.9108611111111</v>
      </c>
      <c r="C27" s="32">
        <v>5.41125</v>
      </c>
      <c r="D27" s="33">
        <v>3.0</v>
      </c>
      <c r="E27" s="34" t="s">
        <v>303</v>
      </c>
      <c r="F27" s="33" t="s">
        <v>304</v>
      </c>
      <c r="G27" s="33" t="s">
        <v>222</v>
      </c>
    </row>
    <row r="28" ht="22.5" customHeight="1">
      <c r="A28" s="31">
        <v>27.0</v>
      </c>
      <c r="B28" s="32">
        <v>52.8993611111111</v>
      </c>
      <c r="C28" s="32">
        <v>5.44411111111111</v>
      </c>
      <c r="D28" s="33">
        <v>6.0</v>
      </c>
      <c r="E28" s="34" t="s">
        <v>306</v>
      </c>
      <c r="F28" s="33" t="s">
        <v>304</v>
      </c>
      <c r="G28" s="33" t="s">
        <v>216</v>
      </c>
    </row>
    <row r="29" ht="22.5" customHeight="1">
      <c r="A29" s="31">
        <v>28.0</v>
      </c>
      <c r="B29" s="32">
        <v>52.8991388888888</v>
      </c>
      <c r="C29" s="32">
        <v>5.44211111111111</v>
      </c>
      <c r="D29" s="33">
        <v>3.0</v>
      </c>
      <c r="E29" s="34" t="s">
        <v>307</v>
      </c>
      <c r="F29" s="33" t="s">
        <v>304</v>
      </c>
      <c r="G29" s="33" t="s">
        <v>216</v>
      </c>
    </row>
    <row r="30" ht="22.5" customHeight="1">
      <c r="A30" s="31">
        <v>29.0</v>
      </c>
      <c r="B30" s="32">
        <v>52.9126666666666</v>
      </c>
      <c r="C30" s="32">
        <v>5.4665</v>
      </c>
      <c r="D30" s="33">
        <v>2.0</v>
      </c>
      <c r="E30" s="34" t="s">
        <v>310</v>
      </c>
      <c r="F30" s="33" t="s">
        <v>304</v>
      </c>
      <c r="G30" s="33" t="s">
        <v>191</v>
      </c>
    </row>
    <row r="31" ht="22.5" customHeight="1">
      <c r="A31" s="31">
        <v>30.0</v>
      </c>
      <c r="B31" s="32">
        <v>52.9137777777777</v>
      </c>
      <c r="C31" s="32">
        <v>5.46175</v>
      </c>
      <c r="D31" s="33">
        <v>6.0</v>
      </c>
      <c r="E31" s="34" t="s">
        <v>311</v>
      </c>
      <c r="F31" s="33" t="s">
        <v>304</v>
      </c>
      <c r="G31" s="33" t="s">
        <v>191</v>
      </c>
    </row>
    <row r="32" ht="22.5" customHeight="1">
      <c r="A32" s="31">
        <v>31.0</v>
      </c>
      <c r="B32" s="32">
        <v>52.9341666666666</v>
      </c>
      <c r="C32" s="32">
        <v>5.47352777777777</v>
      </c>
      <c r="D32" s="33">
        <v>2.0</v>
      </c>
      <c r="E32" s="34" t="s">
        <v>314</v>
      </c>
      <c r="F32" s="33" t="s">
        <v>304</v>
      </c>
      <c r="G32" s="33" t="s">
        <v>315</v>
      </c>
    </row>
    <row r="33" ht="22.5" customHeight="1">
      <c r="A33" s="31">
        <v>32.0</v>
      </c>
      <c r="B33" s="32">
        <v>52.9404166666666</v>
      </c>
      <c r="C33" s="32">
        <v>5.47122222222222</v>
      </c>
      <c r="D33" s="33">
        <v>2.0</v>
      </c>
      <c r="E33" s="34" t="s">
        <v>317</v>
      </c>
      <c r="F33" s="33" t="s">
        <v>304</v>
      </c>
      <c r="G33" s="33" t="s">
        <v>191</v>
      </c>
    </row>
    <row r="34" ht="22.5" customHeight="1">
      <c r="A34" s="31">
        <v>33.0</v>
      </c>
      <c r="B34" s="32">
        <v>52.9355</v>
      </c>
      <c r="C34" s="32">
        <v>5.47211111111111</v>
      </c>
      <c r="D34" s="33">
        <v>4.0</v>
      </c>
      <c r="E34" s="34" t="s">
        <v>318</v>
      </c>
      <c r="F34" s="33" t="s">
        <v>304</v>
      </c>
      <c r="G34" s="33" t="s">
        <v>191</v>
      </c>
    </row>
    <row r="35" ht="22.5" customHeight="1">
      <c r="A35" s="31">
        <v>34.0</v>
      </c>
      <c r="B35" s="32">
        <v>52.92575</v>
      </c>
      <c r="C35" s="32">
        <v>5.44177777777777</v>
      </c>
      <c r="D35" s="33">
        <v>3.0</v>
      </c>
      <c r="E35" s="34" t="s">
        <v>319</v>
      </c>
      <c r="F35" s="33" t="s">
        <v>304</v>
      </c>
      <c r="G35" s="33" t="s">
        <v>222</v>
      </c>
    </row>
    <row r="36">
      <c r="B36" s="16"/>
      <c r="C36" s="16"/>
      <c r="D36" s="16"/>
    </row>
    <row r="37">
      <c r="B37" s="16"/>
      <c r="C37" s="16"/>
      <c r="D37" s="16"/>
    </row>
    <row r="38">
      <c r="B38" s="16"/>
      <c r="C38" s="16"/>
      <c r="D38" s="16"/>
    </row>
    <row r="39">
      <c r="B39" s="16"/>
      <c r="C39" s="16"/>
      <c r="D39" s="16"/>
    </row>
    <row r="40">
      <c r="B40" s="16"/>
      <c r="C40" s="16"/>
      <c r="D40" s="16"/>
    </row>
    <row r="41">
      <c r="B41" s="16"/>
      <c r="C41" s="16"/>
      <c r="D41" s="16"/>
    </row>
    <row r="42">
      <c r="B42" s="16"/>
      <c r="C42" s="16"/>
      <c r="D42" s="16"/>
    </row>
    <row r="43">
      <c r="B43" s="16"/>
      <c r="C43" s="16"/>
      <c r="D43" s="16"/>
    </row>
    <row r="44">
      <c r="B44" s="16"/>
      <c r="C44" s="16"/>
      <c r="D44" s="16"/>
    </row>
    <row r="45">
      <c r="B45" s="16"/>
      <c r="C45" s="16"/>
      <c r="D45" s="16"/>
    </row>
    <row r="46">
      <c r="B46" s="16"/>
      <c r="C46" s="16"/>
      <c r="D46" s="16"/>
    </row>
    <row r="47">
      <c r="B47" s="16"/>
      <c r="C47" s="16"/>
      <c r="D47" s="16"/>
    </row>
    <row r="48">
      <c r="B48" s="16"/>
      <c r="C48" s="16"/>
      <c r="D48" s="16"/>
    </row>
    <row r="49">
      <c r="B49" s="16"/>
      <c r="C49" s="16"/>
      <c r="D49" s="16"/>
    </row>
    <row r="50">
      <c r="B50" s="16"/>
      <c r="C50" s="16"/>
      <c r="D50" s="16"/>
    </row>
    <row r="51">
      <c r="B51" s="16"/>
      <c r="C51" s="16"/>
      <c r="D51" s="16"/>
    </row>
    <row r="52">
      <c r="B52" s="16"/>
      <c r="C52" s="16"/>
      <c r="D52" s="16"/>
    </row>
    <row r="53">
      <c r="B53" s="16"/>
      <c r="C53" s="16"/>
      <c r="D53" s="16"/>
    </row>
    <row r="54">
      <c r="B54" s="16"/>
      <c r="C54" s="16"/>
      <c r="D54" s="16"/>
    </row>
    <row r="55">
      <c r="B55" s="16"/>
      <c r="C55" s="16"/>
      <c r="D55" s="16"/>
    </row>
    <row r="56">
      <c r="B56" s="16"/>
      <c r="C56" s="16"/>
      <c r="D56" s="16"/>
    </row>
    <row r="57">
      <c r="B57" s="16"/>
      <c r="C57" s="16"/>
      <c r="D57" s="16"/>
    </row>
    <row r="58">
      <c r="B58" s="16"/>
      <c r="C58" s="16"/>
      <c r="D58" s="16"/>
    </row>
    <row r="59">
      <c r="B59" s="16"/>
      <c r="C59" s="16"/>
      <c r="D59" s="16"/>
    </row>
    <row r="60">
      <c r="B60" s="16"/>
      <c r="C60" s="16"/>
      <c r="D60" s="16"/>
    </row>
    <row r="61">
      <c r="B61" s="16"/>
      <c r="C61" s="16"/>
      <c r="D61" s="16"/>
    </row>
    <row r="62">
      <c r="B62" s="16"/>
      <c r="C62" s="16"/>
      <c r="D62" s="16"/>
    </row>
    <row r="63">
      <c r="B63" s="16"/>
      <c r="C63" s="16"/>
      <c r="D63" s="16"/>
    </row>
    <row r="64">
      <c r="B64" s="16"/>
      <c r="C64" s="16"/>
      <c r="D64" s="16"/>
    </row>
    <row r="65">
      <c r="B65" s="16"/>
      <c r="C65" s="16"/>
      <c r="D65" s="16"/>
    </row>
    <row r="66">
      <c r="B66" s="16"/>
      <c r="C66" s="16"/>
      <c r="D66" s="16"/>
    </row>
    <row r="67">
      <c r="B67" s="16"/>
      <c r="C67" s="16"/>
      <c r="D67" s="16"/>
    </row>
    <row r="68">
      <c r="B68" s="16"/>
      <c r="C68" s="16"/>
      <c r="D68" s="16"/>
    </row>
    <row r="69">
      <c r="B69" s="16"/>
      <c r="C69" s="16"/>
      <c r="D69" s="16"/>
    </row>
    <row r="70">
      <c r="B70" s="16"/>
      <c r="C70" s="16"/>
      <c r="D70" s="16"/>
    </row>
    <row r="71">
      <c r="B71" s="16"/>
      <c r="C71" s="16"/>
      <c r="D71" s="16"/>
    </row>
    <row r="72">
      <c r="B72" s="16"/>
      <c r="C72" s="16"/>
      <c r="D72" s="16"/>
    </row>
    <row r="73">
      <c r="B73" s="16"/>
      <c r="C73" s="16"/>
      <c r="D73" s="16"/>
    </row>
    <row r="74">
      <c r="B74" s="16"/>
      <c r="C74" s="16"/>
      <c r="D74" s="16"/>
    </row>
    <row r="75">
      <c r="B75" s="16"/>
      <c r="C75" s="16"/>
      <c r="D75" s="16"/>
    </row>
    <row r="76">
      <c r="B76" s="16"/>
      <c r="C76" s="16"/>
      <c r="D76" s="16"/>
    </row>
    <row r="77">
      <c r="B77" s="16"/>
      <c r="C77" s="16"/>
      <c r="D77" s="16"/>
    </row>
    <row r="78">
      <c r="B78" s="16"/>
      <c r="C78" s="16"/>
      <c r="D78" s="16"/>
    </row>
    <row r="79">
      <c r="B79" s="16"/>
      <c r="C79" s="16"/>
      <c r="D79" s="16"/>
    </row>
    <row r="80">
      <c r="B80" s="16"/>
      <c r="C80" s="16"/>
      <c r="D80" s="16"/>
    </row>
    <row r="81">
      <c r="B81" s="16"/>
      <c r="C81" s="16"/>
      <c r="D81" s="16"/>
    </row>
    <row r="82">
      <c r="B82" s="16"/>
      <c r="C82" s="16"/>
      <c r="D82" s="16"/>
    </row>
    <row r="83">
      <c r="B83" s="16"/>
      <c r="C83" s="16"/>
      <c r="D83" s="16"/>
    </row>
    <row r="84">
      <c r="B84" s="16"/>
      <c r="C84" s="16"/>
      <c r="D84" s="16"/>
    </row>
    <row r="85">
      <c r="B85" s="16"/>
      <c r="C85" s="16"/>
      <c r="D85" s="16"/>
    </row>
    <row r="86">
      <c r="B86" s="16"/>
      <c r="C86" s="16"/>
      <c r="D86" s="16"/>
    </row>
    <row r="87">
      <c r="B87" s="16"/>
      <c r="C87" s="16"/>
      <c r="D87" s="16"/>
    </row>
    <row r="88">
      <c r="B88" s="16"/>
      <c r="C88" s="16"/>
      <c r="D88" s="16"/>
    </row>
    <row r="89">
      <c r="B89" s="16"/>
      <c r="C89" s="16"/>
      <c r="D89" s="16"/>
    </row>
    <row r="90">
      <c r="B90" s="16"/>
      <c r="C90" s="16"/>
      <c r="D90" s="16"/>
    </row>
    <row r="91">
      <c r="B91" s="16"/>
      <c r="C91" s="16"/>
      <c r="D91" s="16"/>
    </row>
    <row r="92">
      <c r="B92" s="16"/>
      <c r="C92" s="16"/>
      <c r="D92" s="16"/>
    </row>
    <row r="93">
      <c r="B93" s="16"/>
      <c r="C93" s="16"/>
      <c r="D93" s="16"/>
    </row>
    <row r="94">
      <c r="B94" s="16"/>
      <c r="C94" s="16"/>
      <c r="D94" s="16"/>
    </row>
    <row r="95">
      <c r="B95" s="16"/>
      <c r="C95" s="16"/>
      <c r="D95" s="16"/>
    </row>
    <row r="96">
      <c r="B96" s="16"/>
      <c r="C96" s="16"/>
      <c r="D96" s="16"/>
    </row>
    <row r="97">
      <c r="B97" s="16"/>
      <c r="C97" s="16"/>
      <c r="D97" s="16"/>
    </row>
    <row r="98">
      <c r="B98" s="16"/>
      <c r="C98" s="16"/>
      <c r="D98" s="16"/>
    </row>
    <row r="99">
      <c r="B99" s="16"/>
      <c r="C99" s="16"/>
      <c r="D99" s="16"/>
    </row>
    <row r="100">
      <c r="B100" s="16"/>
      <c r="C100" s="16"/>
      <c r="D100" s="16"/>
    </row>
    <row r="101">
      <c r="B101" s="16"/>
      <c r="C101" s="16"/>
      <c r="D101" s="16"/>
    </row>
    <row r="102">
      <c r="B102" s="16"/>
      <c r="C102" s="16"/>
      <c r="D102" s="16"/>
    </row>
    <row r="103">
      <c r="B103" s="16"/>
      <c r="C103" s="16"/>
      <c r="D103" s="16"/>
    </row>
    <row r="104">
      <c r="B104" s="16"/>
      <c r="C104" s="16"/>
      <c r="D104" s="16"/>
    </row>
    <row r="105">
      <c r="B105" s="16"/>
      <c r="C105" s="16"/>
      <c r="D105" s="16"/>
    </row>
    <row r="106">
      <c r="B106" s="16"/>
      <c r="C106" s="16"/>
      <c r="D106" s="16"/>
    </row>
    <row r="107">
      <c r="B107" s="16"/>
      <c r="C107" s="16"/>
      <c r="D107" s="16"/>
    </row>
    <row r="108">
      <c r="B108" s="16"/>
      <c r="C108" s="16"/>
      <c r="D108" s="16"/>
    </row>
    <row r="109">
      <c r="B109" s="16"/>
      <c r="C109" s="16"/>
      <c r="D109" s="16"/>
    </row>
    <row r="110">
      <c r="B110" s="16"/>
      <c r="C110" s="16"/>
      <c r="D110" s="16"/>
    </row>
    <row r="111">
      <c r="B111" s="16"/>
      <c r="C111" s="16"/>
      <c r="D111" s="16"/>
    </row>
    <row r="112">
      <c r="B112" s="16"/>
      <c r="C112" s="16"/>
      <c r="D112" s="16"/>
    </row>
    <row r="113">
      <c r="B113" s="16"/>
      <c r="C113" s="16"/>
      <c r="D113" s="16"/>
    </row>
    <row r="114">
      <c r="B114" s="16"/>
      <c r="C114" s="16"/>
      <c r="D114" s="16"/>
    </row>
    <row r="115">
      <c r="B115" s="16"/>
      <c r="C115" s="16"/>
      <c r="D115" s="16"/>
    </row>
    <row r="116">
      <c r="B116" s="16"/>
      <c r="C116" s="16"/>
      <c r="D116" s="16"/>
    </row>
    <row r="117">
      <c r="B117" s="16"/>
      <c r="C117" s="16"/>
      <c r="D117" s="16"/>
    </row>
    <row r="118">
      <c r="B118" s="16"/>
      <c r="C118" s="16"/>
      <c r="D118" s="16"/>
    </row>
    <row r="119">
      <c r="B119" s="16"/>
      <c r="C119" s="16"/>
      <c r="D119" s="16"/>
    </row>
    <row r="120">
      <c r="B120" s="16"/>
      <c r="C120" s="16"/>
      <c r="D120" s="16"/>
    </row>
    <row r="121">
      <c r="B121" s="16"/>
      <c r="C121" s="16"/>
      <c r="D121" s="16"/>
    </row>
    <row r="122">
      <c r="B122" s="16"/>
      <c r="C122" s="16"/>
      <c r="D122" s="16"/>
    </row>
    <row r="123">
      <c r="B123" s="16"/>
      <c r="C123" s="16"/>
      <c r="D123" s="16"/>
    </row>
    <row r="124">
      <c r="B124" s="16"/>
      <c r="C124" s="16"/>
      <c r="D124" s="16"/>
    </row>
    <row r="125">
      <c r="B125" s="16"/>
      <c r="C125" s="16"/>
      <c r="D125" s="16"/>
    </row>
    <row r="126">
      <c r="B126" s="16"/>
      <c r="C126" s="16"/>
      <c r="D126" s="16"/>
    </row>
    <row r="127">
      <c r="B127" s="16"/>
      <c r="C127" s="16"/>
      <c r="D127" s="16"/>
    </row>
    <row r="128">
      <c r="B128" s="16"/>
      <c r="C128" s="16"/>
      <c r="D128" s="16"/>
    </row>
    <row r="129">
      <c r="B129" s="16"/>
      <c r="C129" s="16"/>
      <c r="D129" s="16"/>
    </row>
    <row r="130">
      <c r="B130" s="16"/>
      <c r="C130" s="16"/>
      <c r="D130" s="16"/>
    </row>
    <row r="131">
      <c r="B131" s="16"/>
      <c r="C131" s="16"/>
      <c r="D131" s="16"/>
    </row>
    <row r="132">
      <c r="B132" s="16"/>
      <c r="C132" s="16"/>
      <c r="D132" s="16"/>
    </row>
    <row r="133">
      <c r="B133" s="16"/>
      <c r="C133" s="16"/>
      <c r="D133" s="16"/>
    </row>
    <row r="134">
      <c r="B134" s="16"/>
      <c r="C134" s="16"/>
      <c r="D134" s="16"/>
    </row>
    <row r="135">
      <c r="B135" s="16"/>
      <c r="C135" s="16"/>
      <c r="D135" s="16"/>
    </row>
    <row r="136">
      <c r="B136" s="16"/>
      <c r="C136" s="16"/>
      <c r="D136" s="16"/>
    </row>
    <row r="137">
      <c r="B137" s="16"/>
      <c r="C137" s="16"/>
      <c r="D137" s="16"/>
    </row>
    <row r="138">
      <c r="B138" s="16"/>
      <c r="C138" s="16"/>
      <c r="D138" s="16"/>
    </row>
    <row r="139">
      <c r="B139" s="16"/>
      <c r="C139" s="16"/>
      <c r="D139" s="16"/>
    </row>
    <row r="140">
      <c r="B140" s="16"/>
      <c r="C140" s="16"/>
      <c r="D140" s="16"/>
    </row>
    <row r="141">
      <c r="B141" s="16"/>
      <c r="C141" s="16"/>
      <c r="D141" s="16"/>
    </row>
    <row r="142">
      <c r="B142" s="16"/>
      <c r="C142" s="16"/>
      <c r="D142" s="16"/>
    </row>
    <row r="143">
      <c r="B143" s="16"/>
      <c r="C143" s="16"/>
      <c r="D143" s="16"/>
    </row>
    <row r="144">
      <c r="B144" s="16"/>
      <c r="C144" s="16"/>
      <c r="D144" s="16"/>
    </row>
    <row r="145">
      <c r="B145" s="16"/>
      <c r="C145" s="16"/>
      <c r="D145" s="16"/>
    </row>
    <row r="146">
      <c r="B146" s="16"/>
      <c r="C146" s="16"/>
      <c r="D146" s="16"/>
    </row>
    <row r="147">
      <c r="B147" s="16"/>
      <c r="C147" s="16"/>
      <c r="D147" s="16"/>
    </row>
    <row r="148">
      <c r="B148" s="16"/>
      <c r="C148" s="16"/>
      <c r="D148" s="16"/>
    </row>
    <row r="149">
      <c r="B149" s="16"/>
      <c r="C149" s="16"/>
      <c r="D149" s="16"/>
    </row>
    <row r="150">
      <c r="B150" s="16"/>
      <c r="C150" s="16"/>
      <c r="D150" s="16"/>
    </row>
    <row r="151">
      <c r="B151" s="16"/>
      <c r="C151" s="16"/>
      <c r="D151" s="16"/>
    </row>
    <row r="152">
      <c r="B152" s="16"/>
      <c r="C152" s="16"/>
      <c r="D152" s="16"/>
    </row>
    <row r="153">
      <c r="B153" s="16"/>
      <c r="C153" s="16"/>
      <c r="D153" s="16"/>
    </row>
    <row r="154">
      <c r="B154" s="16"/>
      <c r="C154" s="16"/>
      <c r="D154" s="16"/>
    </row>
    <row r="155">
      <c r="B155" s="16"/>
      <c r="C155" s="16"/>
      <c r="D155" s="16"/>
    </row>
    <row r="156">
      <c r="B156" s="16"/>
      <c r="C156" s="16"/>
      <c r="D156" s="16"/>
    </row>
    <row r="157">
      <c r="B157" s="16"/>
      <c r="C157" s="16"/>
      <c r="D157" s="16"/>
    </row>
    <row r="158">
      <c r="B158" s="16"/>
      <c r="C158" s="16"/>
      <c r="D158" s="16"/>
    </row>
    <row r="159">
      <c r="B159" s="16"/>
      <c r="C159" s="16"/>
      <c r="D159" s="16"/>
    </row>
    <row r="160">
      <c r="B160" s="16"/>
      <c r="C160" s="16"/>
      <c r="D160" s="16"/>
    </row>
    <row r="161">
      <c r="B161" s="16"/>
      <c r="C161" s="16"/>
      <c r="D161" s="16"/>
    </row>
    <row r="162">
      <c r="B162" s="16"/>
      <c r="C162" s="16"/>
      <c r="D162" s="16"/>
    </row>
    <row r="163">
      <c r="B163" s="16"/>
      <c r="C163" s="16"/>
      <c r="D163" s="16"/>
    </row>
    <row r="164">
      <c r="B164" s="16"/>
      <c r="C164" s="16"/>
      <c r="D164" s="16"/>
    </row>
    <row r="165">
      <c r="B165" s="16"/>
      <c r="C165" s="16"/>
      <c r="D165" s="16"/>
    </row>
    <row r="166">
      <c r="B166" s="16"/>
      <c r="C166" s="16"/>
      <c r="D166" s="16"/>
    </row>
    <row r="167">
      <c r="B167" s="16"/>
      <c r="C167" s="16"/>
      <c r="D167" s="16"/>
    </row>
    <row r="168">
      <c r="B168" s="16"/>
      <c r="C168" s="16"/>
      <c r="D168" s="16"/>
    </row>
    <row r="169">
      <c r="B169" s="16"/>
      <c r="C169" s="16"/>
      <c r="D169" s="16"/>
    </row>
    <row r="170">
      <c r="B170" s="16"/>
      <c r="C170" s="16"/>
      <c r="D170" s="16"/>
    </row>
    <row r="171">
      <c r="B171" s="16"/>
      <c r="C171" s="16"/>
      <c r="D171" s="16"/>
    </row>
    <row r="172">
      <c r="B172" s="16"/>
      <c r="C172" s="16"/>
      <c r="D172" s="16"/>
    </row>
    <row r="173">
      <c r="B173" s="16"/>
      <c r="C173" s="16"/>
      <c r="D173" s="16"/>
    </row>
    <row r="174">
      <c r="B174" s="16"/>
      <c r="C174" s="16"/>
      <c r="D174" s="16"/>
    </row>
    <row r="175">
      <c r="B175" s="16"/>
      <c r="C175" s="16"/>
      <c r="D175" s="16"/>
    </row>
    <row r="176">
      <c r="B176" s="16"/>
      <c r="C176" s="16"/>
      <c r="D176" s="16"/>
    </row>
    <row r="177">
      <c r="B177" s="16"/>
      <c r="C177" s="16"/>
      <c r="D177" s="16"/>
    </row>
    <row r="178">
      <c r="B178" s="16"/>
      <c r="C178" s="16"/>
      <c r="D178" s="16"/>
    </row>
    <row r="179">
      <c r="B179" s="16"/>
      <c r="C179" s="16"/>
      <c r="D179" s="16"/>
    </row>
    <row r="180">
      <c r="B180" s="16"/>
      <c r="C180" s="16"/>
      <c r="D180" s="16"/>
    </row>
    <row r="181">
      <c r="B181" s="16"/>
      <c r="C181" s="16"/>
      <c r="D181" s="16"/>
    </row>
    <row r="182">
      <c r="B182" s="16"/>
      <c r="C182" s="16"/>
      <c r="D182" s="16"/>
    </row>
    <row r="183">
      <c r="B183" s="16"/>
      <c r="C183" s="16"/>
      <c r="D183" s="16"/>
    </row>
    <row r="184">
      <c r="B184" s="16"/>
      <c r="C184" s="16"/>
      <c r="D184" s="16"/>
    </row>
    <row r="185">
      <c r="B185" s="16"/>
      <c r="C185" s="16"/>
      <c r="D185" s="16"/>
    </row>
    <row r="186">
      <c r="B186" s="16"/>
      <c r="C186" s="16"/>
      <c r="D186" s="16"/>
    </row>
    <row r="187">
      <c r="B187" s="16"/>
      <c r="C187" s="16"/>
      <c r="D187" s="16"/>
    </row>
    <row r="188">
      <c r="B188" s="16"/>
      <c r="C188" s="16"/>
      <c r="D188" s="16"/>
    </row>
    <row r="189">
      <c r="B189" s="16"/>
      <c r="C189" s="16"/>
      <c r="D189" s="16"/>
    </row>
    <row r="190">
      <c r="B190" s="16"/>
      <c r="C190" s="16"/>
      <c r="D190" s="16"/>
    </row>
    <row r="191">
      <c r="B191" s="16"/>
      <c r="C191" s="16"/>
      <c r="D191" s="16"/>
    </row>
    <row r="192">
      <c r="B192" s="16"/>
      <c r="C192" s="16"/>
      <c r="D192" s="16"/>
    </row>
    <row r="193">
      <c r="B193" s="16"/>
      <c r="C193" s="16"/>
      <c r="D193" s="16"/>
    </row>
    <row r="194">
      <c r="B194" s="16"/>
      <c r="C194" s="16"/>
      <c r="D194" s="16"/>
    </row>
    <row r="195">
      <c r="B195" s="16"/>
      <c r="C195" s="16"/>
      <c r="D195" s="16"/>
    </row>
    <row r="196">
      <c r="B196" s="16"/>
      <c r="C196" s="16"/>
      <c r="D196" s="16"/>
    </row>
    <row r="197">
      <c r="B197" s="16"/>
      <c r="C197" s="16"/>
      <c r="D197" s="16"/>
    </row>
    <row r="198">
      <c r="B198" s="16"/>
      <c r="C198" s="16"/>
      <c r="D198" s="16"/>
    </row>
    <row r="199">
      <c r="B199" s="16"/>
      <c r="C199" s="16"/>
      <c r="D199" s="16"/>
    </row>
    <row r="200">
      <c r="B200" s="16"/>
      <c r="C200" s="16"/>
      <c r="D200" s="16"/>
    </row>
    <row r="201">
      <c r="B201" s="16"/>
      <c r="C201" s="16"/>
      <c r="D201" s="16"/>
    </row>
    <row r="202">
      <c r="B202" s="16"/>
      <c r="C202" s="16"/>
      <c r="D202" s="16"/>
    </row>
    <row r="203">
      <c r="B203" s="16"/>
      <c r="C203" s="16"/>
      <c r="D203" s="16"/>
    </row>
    <row r="204">
      <c r="B204" s="16"/>
      <c r="C204" s="16"/>
      <c r="D204" s="16"/>
    </row>
    <row r="205">
      <c r="B205" s="16"/>
      <c r="C205" s="16"/>
      <c r="D205" s="16"/>
    </row>
    <row r="206">
      <c r="B206" s="16"/>
      <c r="C206" s="16"/>
      <c r="D206" s="16"/>
    </row>
    <row r="207">
      <c r="B207" s="16"/>
      <c r="C207" s="16"/>
      <c r="D207" s="16"/>
    </row>
    <row r="208">
      <c r="B208" s="16"/>
      <c r="C208" s="16"/>
      <c r="D208" s="16"/>
    </row>
    <row r="209">
      <c r="B209" s="16"/>
      <c r="C209" s="16"/>
      <c r="D209" s="16"/>
    </row>
    <row r="210">
      <c r="B210" s="16"/>
      <c r="C210" s="16"/>
      <c r="D210" s="16"/>
    </row>
    <row r="211">
      <c r="B211" s="16"/>
      <c r="C211" s="16"/>
      <c r="D211" s="16"/>
    </row>
    <row r="212">
      <c r="B212" s="16"/>
      <c r="C212" s="16"/>
      <c r="D212" s="16"/>
    </row>
    <row r="213">
      <c r="B213" s="16"/>
      <c r="C213" s="16"/>
      <c r="D213" s="16"/>
    </row>
    <row r="214">
      <c r="B214" s="16"/>
      <c r="C214" s="16"/>
      <c r="D214" s="16"/>
    </row>
    <row r="215">
      <c r="B215" s="16"/>
      <c r="C215" s="16"/>
      <c r="D215" s="16"/>
    </row>
    <row r="216">
      <c r="B216" s="16"/>
      <c r="C216" s="16"/>
      <c r="D216" s="16"/>
    </row>
    <row r="217">
      <c r="B217" s="16"/>
      <c r="C217" s="16"/>
      <c r="D217" s="16"/>
    </row>
    <row r="218">
      <c r="B218" s="16"/>
      <c r="C218" s="16"/>
      <c r="D218" s="16"/>
    </row>
    <row r="219">
      <c r="B219" s="16"/>
      <c r="C219" s="16"/>
      <c r="D219" s="16"/>
    </row>
    <row r="220">
      <c r="B220" s="16"/>
      <c r="C220" s="16"/>
      <c r="D220" s="16"/>
    </row>
    <row r="221">
      <c r="B221" s="16"/>
      <c r="C221" s="16"/>
      <c r="D221" s="16"/>
    </row>
    <row r="222">
      <c r="B222" s="16"/>
      <c r="C222" s="16"/>
      <c r="D222" s="16"/>
    </row>
    <row r="223">
      <c r="B223" s="16"/>
      <c r="C223" s="16"/>
      <c r="D223" s="16"/>
    </row>
    <row r="224">
      <c r="B224" s="16"/>
      <c r="C224" s="16"/>
      <c r="D224" s="16"/>
    </row>
    <row r="225">
      <c r="B225" s="16"/>
      <c r="C225" s="16"/>
      <c r="D225" s="16"/>
    </row>
    <row r="226">
      <c r="B226" s="16"/>
      <c r="C226" s="16"/>
      <c r="D226" s="16"/>
    </row>
    <row r="227">
      <c r="B227" s="16"/>
      <c r="C227" s="16"/>
      <c r="D227" s="16"/>
    </row>
    <row r="228">
      <c r="B228" s="16"/>
      <c r="C228" s="16"/>
      <c r="D228" s="16"/>
    </row>
    <row r="229">
      <c r="B229" s="16"/>
      <c r="C229" s="16"/>
      <c r="D229" s="16"/>
    </row>
    <row r="230">
      <c r="B230" s="16"/>
      <c r="C230" s="16"/>
      <c r="D230" s="16"/>
    </row>
    <row r="231">
      <c r="B231" s="16"/>
      <c r="C231" s="16"/>
      <c r="D231" s="16"/>
    </row>
    <row r="232">
      <c r="B232" s="16"/>
      <c r="C232" s="16"/>
      <c r="D232" s="16"/>
    </row>
    <row r="233">
      <c r="B233" s="16"/>
      <c r="C233" s="16"/>
      <c r="D233" s="16"/>
    </row>
    <row r="234">
      <c r="B234" s="16"/>
      <c r="C234" s="16"/>
      <c r="D234" s="16"/>
    </row>
    <row r="235">
      <c r="B235" s="16"/>
      <c r="C235" s="16"/>
      <c r="D235" s="16"/>
    </row>
    <row r="236">
      <c r="B236" s="16"/>
      <c r="C236" s="16"/>
      <c r="D236" s="16"/>
    </row>
    <row r="237">
      <c r="B237" s="16"/>
      <c r="C237" s="16"/>
      <c r="D237" s="16"/>
    </row>
    <row r="238">
      <c r="B238" s="16"/>
      <c r="C238" s="16"/>
      <c r="D238" s="16"/>
    </row>
    <row r="239">
      <c r="B239" s="16"/>
      <c r="C239" s="16"/>
      <c r="D239" s="16"/>
    </row>
    <row r="240">
      <c r="B240" s="16"/>
      <c r="C240" s="16"/>
      <c r="D240" s="16"/>
    </row>
    <row r="241">
      <c r="B241" s="16"/>
      <c r="C241" s="16"/>
      <c r="D241" s="16"/>
    </row>
    <row r="242">
      <c r="B242" s="16"/>
      <c r="C242" s="16"/>
      <c r="D242" s="16"/>
    </row>
    <row r="243">
      <c r="B243" s="16"/>
      <c r="C243" s="16"/>
      <c r="D243" s="16"/>
    </row>
    <row r="244">
      <c r="B244" s="16"/>
      <c r="C244" s="16"/>
      <c r="D244" s="16"/>
    </row>
    <row r="245">
      <c r="B245" s="16"/>
      <c r="C245" s="16"/>
      <c r="D245" s="16"/>
    </row>
    <row r="246">
      <c r="B246" s="16"/>
      <c r="C246" s="16"/>
      <c r="D246" s="16"/>
    </row>
    <row r="247">
      <c r="B247" s="16"/>
      <c r="C247" s="16"/>
      <c r="D247" s="16"/>
    </row>
    <row r="248">
      <c r="B248" s="16"/>
      <c r="C248" s="16"/>
      <c r="D248" s="16"/>
    </row>
    <row r="249">
      <c r="B249" s="16"/>
      <c r="C249" s="16"/>
      <c r="D249" s="16"/>
    </row>
    <row r="250">
      <c r="B250" s="16"/>
      <c r="C250" s="16"/>
      <c r="D250" s="16"/>
    </row>
    <row r="251">
      <c r="B251" s="16"/>
      <c r="C251" s="16"/>
      <c r="D251" s="16"/>
    </row>
    <row r="252">
      <c r="B252" s="16"/>
      <c r="C252" s="16"/>
      <c r="D252" s="16"/>
    </row>
    <row r="253">
      <c r="B253" s="16"/>
      <c r="C253" s="16"/>
      <c r="D253" s="16"/>
    </row>
    <row r="254">
      <c r="B254" s="16"/>
      <c r="C254" s="16"/>
      <c r="D254" s="16"/>
    </row>
    <row r="255">
      <c r="B255" s="16"/>
      <c r="C255" s="16"/>
      <c r="D255" s="16"/>
    </row>
    <row r="256">
      <c r="B256" s="16"/>
      <c r="C256" s="16"/>
      <c r="D256" s="16"/>
    </row>
    <row r="257">
      <c r="B257" s="16"/>
      <c r="C257" s="16"/>
      <c r="D257" s="16"/>
    </row>
    <row r="258">
      <c r="B258" s="16"/>
      <c r="C258" s="16"/>
      <c r="D258" s="16"/>
    </row>
    <row r="259">
      <c r="B259" s="16"/>
      <c r="C259" s="16"/>
      <c r="D259" s="16"/>
    </row>
    <row r="260">
      <c r="B260" s="16"/>
      <c r="C260" s="16"/>
      <c r="D260" s="16"/>
    </row>
    <row r="261">
      <c r="B261" s="16"/>
      <c r="C261" s="16"/>
      <c r="D261" s="16"/>
    </row>
    <row r="262">
      <c r="B262" s="16"/>
      <c r="C262" s="16"/>
      <c r="D262" s="16"/>
    </row>
    <row r="263">
      <c r="B263" s="16"/>
      <c r="C263" s="16"/>
      <c r="D263" s="16"/>
    </row>
    <row r="264">
      <c r="B264" s="16"/>
      <c r="C264" s="16"/>
      <c r="D264" s="16"/>
    </row>
    <row r="265">
      <c r="B265" s="16"/>
      <c r="C265" s="16"/>
      <c r="D265" s="16"/>
    </row>
    <row r="266">
      <c r="B266" s="16"/>
      <c r="C266" s="16"/>
      <c r="D266" s="16"/>
    </row>
    <row r="267">
      <c r="B267" s="16"/>
      <c r="C267" s="16"/>
      <c r="D267" s="16"/>
    </row>
    <row r="268">
      <c r="B268" s="16"/>
      <c r="C268" s="16"/>
      <c r="D268" s="16"/>
    </row>
    <row r="269">
      <c r="B269" s="16"/>
      <c r="C269" s="16"/>
      <c r="D269" s="16"/>
    </row>
    <row r="270">
      <c r="B270" s="16"/>
      <c r="C270" s="16"/>
      <c r="D270" s="16"/>
    </row>
    <row r="271">
      <c r="B271" s="16"/>
      <c r="C271" s="16"/>
      <c r="D271" s="16"/>
    </row>
    <row r="272">
      <c r="B272" s="16"/>
      <c r="C272" s="16"/>
      <c r="D272" s="16"/>
    </row>
    <row r="273">
      <c r="B273" s="16"/>
      <c r="C273" s="16"/>
      <c r="D273" s="16"/>
    </row>
    <row r="274">
      <c r="B274" s="16"/>
      <c r="C274" s="16"/>
      <c r="D274" s="16"/>
    </row>
    <row r="275">
      <c r="B275" s="16"/>
      <c r="C275" s="16"/>
      <c r="D275" s="16"/>
    </row>
    <row r="276">
      <c r="B276" s="16"/>
      <c r="C276" s="16"/>
      <c r="D276" s="16"/>
    </row>
    <row r="277">
      <c r="B277" s="16"/>
      <c r="C277" s="16"/>
      <c r="D277" s="16"/>
    </row>
    <row r="278">
      <c r="B278" s="16"/>
      <c r="C278" s="16"/>
      <c r="D278" s="16"/>
    </row>
    <row r="279">
      <c r="B279" s="16"/>
      <c r="C279" s="16"/>
      <c r="D279" s="16"/>
    </row>
    <row r="280">
      <c r="B280" s="16"/>
      <c r="C280" s="16"/>
      <c r="D280" s="16"/>
    </row>
    <row r="281">
      <c r="B281" s="16"/>
      <c r="C281" s="16"/>
      <c r="D281" s="16"/>
    </row>
    <row r="282">
      <c r="B282" s="16"/>
      <c r="C282" s="16"/>
      <c r="D282" s="16"/>
    </row>
    <row r="283">
      <c r="B283" s="16"/>
      <c r="C283" s="16"/>
      <c r="D283" s="16"/>
    </row>
    <row r="284">
      <c r="B284" s="16"/>
      <c r="C284" s="16"/>
      <c r="D284" s="16"/>
    </row>
    <row r="285">
      <c r="B285" s="16"/>
      <c r="C285" s="16"/>
      <c r="D285" s="16"/>
    </row>
    <row r="286">
      <c r="B286" s="16"/>
      <c r="C286" s="16"/>
      <c r="D286" s="16"/>
    </row>
    <row r="287">
      <c r="B287" s="16"/>
      <c r="C287" s="16"/>
      <c r="D287" s="16"/>
    </row>
    <row r="288">
      <c r="B288" s="16"/>
      <c r="C288" s="16"/>
      <c r="D288" s="16"/>
    </row>
    <row r="289">
      <c r="B289" s="16"/>
      <c r="C289" s="16"/>
      <c r="D289" s="16"/>
    </row>
    <row r="290">
      <c r="B290" s="16"/>
      <c r="C290" s="16"/>
      <c r="D290" s="16"/>
    </row>
    <row r="291">
      <c r="B291" s="16"/>
      <c r="C291" s="16"/>
      <c r="D291" s="16"/>
    </row>
    <row r="292">
      <c r="B292" s="16"/>
      <c r="C292" s="16"/>
      <c r="D292" s="16"/>
    </row>
    <row r="293">
      <c r="B293" s="16"/>
      <c r="C293" s="16"/>
      <c r="D293" s="16"/>
    </row>
    <row r="294">
      <c r="B294" s="16"/>
      <c r="C294" s="16"/>
      <c r="D294" s="16"/>
    </row>
    <row r="295">
      <c r="B295" s="16"/>
      <c r="C295" s="16"/>
      <c r="D295" s="16"/>
    </row>
    <row r="296">
      <c r="B296" s="16"/>
      <c r="C296" s="16"/>
      <c r="D296" s="16"/>
    </row>
    <row r="297">
      <c r="B297" s="16"/>
      <c r="C297" s="16"/>
      <c r="D297" s="16"/>
    </row>
    <row r="298">
      <c r="B298" s="16"/>
      <c r="C298" s="16"/>
      <c r="D298" s="16"/>
    </row>
    <row r="299">
      <c r="B299" s="16"/>
      <c r="C299" s="16"/>
      <c r="D299" s="16"/>
    </row>
    <row r="300">
      <c r="B300" s="16"/>
      <c r="C300" s="16"/>
      <c r="D300" s="16"/>
    </row>
    <row r="301">
      <c r="B301" s="16"/>
      <c r="C301" s="16"/>
      <c r="D301" s="16"/>
    </row>
    <row r="302">
      <c r="B302" s="16"/>
      <c r="C302" s="16"/>
      <c r="D302" s="16"/>
    </row>
    <row r="303">
      <c r="B303" s="16"/>
      <c r="C303" s="16"/>
      <c r="D303" s="16"/>
    </row>
    <row r="304">
      <c r="B304" s="16"/>
      <c r="C304" s="16"/>
      <c r="D304" s="16"/>
    </row>
    <row r="305">
      <c r="B305" s="16"/>
      <c r="C305" s="16"/>
      <c r="D305" s="16"/>
    </row>
    <row r="306">
      <c r="B306" s="16"/>
      <c r="C306" s="16"/>
      <c r="D306" s="16"/>
    </row>
    <row r="307">
      <c r="B307" s="16"/>
      <c r="C307" s="16"/>
      <c r="D307" s="16"/>
    </row>
    <row r="308">
      <c r="B308" s="16"/>
      <c r="C308" s="16"/>
      <c r="D308" s="16"/>
    </row>
    <row r="309">
      <c r="B309" s="16"/>
      <c r="C309" s="16"/>
      <c r="D309" s="16"/>
    </row>
    <row r="310">
      <c r="B310" s="16"/>
      <c r="C310" s="16"/>
      <c r="D310" s="16"/>
    </row>
    <row r="311">
      <c r="B311" s="16"/>
      <c r="C311" s="16"/>
      <c r="D311" s="16"/>
    </row>
    <row r="312">
      <c r="B312" s="16"/>
      <c r="C312" s="16"/>
      <c r="D312" s="16"/>
    </row>
    <row r="313">
      <c r="B313" s="16"/>
      <c r="C313" s="16"/>
      <c r="D313" s="16"/>
    </row>
    <row r="314">
      <c r="B314" s="16"/>
      <c r="C314" s="16"/>
      <c r="D314" s="16"/>
    </row>
    <row r="315">
      <c r="B315" s="16"/>
      <c r="C315" s="16"/>
      <c r="D315" s="16"/>
    </row>
    <row r="316">
      <c r="B316" s="16"/>
      <c r="C316" s="16"/>
      <c r="D316" s="16"/>
    </row>
    <row r="317">
      <c r="B317" s="16"/>
      <c r="C317" s="16"/>
      <c r="D317" s="16"/>
    </row>
    <row r="318">
      <c r="B318" s="16"/>
      <c r="C318" s="16"/>
      <c r="D318" s="16"/>
    </row>
    <row r="319">
      <c r="B319" s="16"/>
      <c r="C319" s="16"/>
      <c r="D319" s="16"/>
    </row>
    <row r="320">
      <c r="B320" s="16"/>
      <c r="C320" s="16"/>
      <c r="D320" s="16"/>
    </row>
    <row r="321">
      <c r="B321" s="16"/>
      <c r="C321" s="16"/>
      <c r="D321" s="16"/>
    </row>
    <row r="322">
      <c r="B322" s="16"/>
      <c r="C322" s="16"/>
      <c r="D322" s="16"/>
    </row>
    <row r="323">
      <c r="B323" s="16"/>
      <c r="C323" s="16"/>
      <c r="D323" s="16"/>
    </row>
    <row r="324">
      <c r="B324" s="16"/>
      <c r="C324" s="16"/>
      <c r="D324" s="16"/>
    </row>
    <row r="325">
      <c r="B325" s="16"/>
      <c r="C325" s="16"/>
      <c r="D325" s="16"/>
    </row>
    <row r="326">
      <c r="B326" s="16"/>
      <c r="C326" s="16"/>
      <c r="D326" s="16"/>
    </row>
    <row r="327">
      <c r="B327" s="16"/>
      <c r="C327" s="16"/>
      <c r="D327" s="16"/>
    </row>
    <row r="328">
      <c r="B328" s="16"/>
      <c r="C328" s="16"/>
      <c r="D328" s="16"/>
    </row>
    <row r="329">
      <c r="B329" s="16"/>
      <c r="C329" s="16"/>
      <c r="D329" s="16"/>
    </row>
    <row r="330">
      <c r="B330" s="16"/>
      <c r="C330" s="16"/>
      <c r="D330" s="16"/>
    </row>
    <row r="331">
      <c r="B331" s="16"/>
      <c r="C331" s="16"/>
      <c r="D331" s="16"/>
    </row>
    <row r="332">
      <c r="B332" s="16"/>
      <c r="C332" s="16"/>
      <c r="D332" s="16"/>
    </row>
    <row r="333">
      <c r="B333" s="16"/>
      <c r="C333" s="16"/>
      <c r="D333" s="16"/>
    </row>
    <row r="334">
      <c r="B334" s="16"/>
      <c r="C334" s="16"/>
      <c r="D334" s="16"/>
    </row>
    <row r="335">
      <c r="B335" s="16"/>
      <c r="C335" s="16"/>
      <c r="D335" s="16"/>
    </row>
    <row r="336">
      <c r="B336" s="16"/>
      <c r="C336" s="16"/>
      <c r="D336" s="16"/>
    </row>
    <row r="337">
      <c r="B337" s="16"/>
      <c r="C337" s="16"/>
      <c r="D337" s="16"/>
    </row>
    <row r="338">
      <c r="B338" s="16"/>
      <c r="C338" s="16"/>
      <c r="D338" s="16"/>
    </row>
    <row r="339">
      <c r="B339" s="16"/>
      <c r="C339" s="16"/>
      <c r="D339" s="16"/>
    </row>
    <row r="340">
      <c r="B340" s="16"/>
      <c r="C340" s="16"/>
      <c r="D340" s="16"/>
    </row>
    <row r="341">
      <c r="B341" s="16"/>
      <c r="C341" s="16"/>
      <c r="D341" s="16"/>
    </row>
    <row r="342">
      <c r="B342" s="16"/>
      <c r="C342" s="16"/>
      <c r="D342" s="16"/>
    </row>
    <row r="343">
      <c r="B343" s="16"/>
      <c r="C343" s="16"/>
      <c r="D343" s="16"/>
    </row>
    <row r="344">
      <c r="B344" s="16"/>
      <c r="C344" s="16"/>
      <c r="D344" s="16"/>
    </row>
    <row r="345">
      <c r="B345" s="16"/>
      <c r="C345" s="16"/>
      <c r="D345" s="16"/>
    </row>
    <row r="346">
      <c r="B346" s="16"/>
      <c r="C346" s="16"/>
      <c r="D346" s="16"/>
    </row>
    <row r="347">
      <c r="B347" s="16"/>
      <c r="C347" s="16"/>
      <c r="D347" s="16"/>
    </row>
    <row r="348">
      <c r="B348" s="16"/>
      <c r="C348" s="16"/>
      <c r="D348" s="16"/>
    </row>
    <row r="349">
      <c r="B349" s="16"/>
      <c r="C349" s="16"/>
      <c r="D349" s="16"/>
    </row>
    <row r="350">
      <c r="B350" s="16"/>
      <c r="C350" s="16"/>
      <c r="D350" s="16"/>
    </row>
    <row r="351">
      <c r="B351" s="16"/>
      <c r="C351" s="16"/>
      <c r="D351" s="16"/>
    </row>
    <row r="352">
      <c r="B352" s="16"/>
      <c r="C352" s="16"/>
      <c r="D352" s="16"/>
    </row>
    <row r="353">
      <c r="B353" s="16"/>
      <c r="C353" s="16"/>
      <c r="D353" s="16"/>
    </row>
    <row r="354">
      <c r="B354" s="16"/>
      <c r="C354" s="16"/>
      <c r="D354" s="16"/>
    </row>
    <row r="355">
      <c r="B355" s="16"/>
      <c r="C355" s="16"/>
      <c r="D355" s="16"/>
    </row>
    <row r="356">
      <c r="B356" s="16"/>
      <c r="C356" s="16"/>
      <c r="D356" s="16"/>
    </row>
    <row r="357">
      <c r="B357" s="16"/>
      <c r="C357" s="16"/>
      <c r="D357" s="16"/>
    </row>
    <row r="358">
      <c r="B358" s="16"/>
      <c r="C358" s="16"/>
      <c r="D358" s="16"/>
    </row>
    <row r="359">
      <c r="B359" s="16"/>
      <c r="C359" s="16"/>
      <c r="D359" s="16"/>
    </row>
    <row r="360">
      <c r="B360" s="16"/>
      <c r="C360" s="16"/>
      <c r="D360" s="16"/>
    </row>
    <row r="361">
      <c r="B361" s="16"/>
      <c r="C361" s="16"/>
      <c r="D361" s="16"/>
    </row>
    <row r="362">
      <c r="B362" s="16"/>
      <c r="C362" s="16"/>
      <c r="D362" s="16"/>
    </row>
    <row r="363">
      <c r="B363" s="16"/>
      <c r="C363" s="16"/>
      <c r="D363" s="16"/>
    </row>
    <row r="364">
      <c r="B364" s="16"/>
      <c r="C364" s="16"/>
      <c r="D364" s="16"/>
    </row>
    <row r="365">
      <c r="B365" s="16"/>
      <c r="C365" s="16"/>
      <c r="D365" s="16"/>
    </row>
    <row r="366">
      <c r="B366" s="16"/>
      <c r="C366" s="16"/>
      <c r="D366" s="16"/>
    </row>
    <row r="367">
      <c r="B367" s="16"/>
      <c r="C367" s="16"/>
      <c r="D367" s="16"/>
    </row>
    <row r="368">
      <c r="B368" s="16"/>
      <c r="C368" s="16"/>
      <c r="D368" s="16"/>
    </row>
    <row r="369">
      <c r="B369" s="16"/>
      <c r="C369" s="16"/>
      <c r="D369" s="16"/>
    </row>
    <row r="370">
      <c r="B370" s="16"/>
      <c r="C370" s="16"/>
      <c r="D370" s="16"/>
    </row>
    <row r="371">
      <c r="B371" s="16"/>
      <c r="C371" s="16"/>
      <c r="D371" s="16"/>
    </row>
    <row r="372">
      <c r="B372" s="16"/>
      <c r="C372" s="16"/>
      <c r="D372" s="16"/>
    </row>
    <row r="373">
      <c r="B373" s="16"/>
      <c r="C373" s="16"/>
      <c r="D373" s="16"/>
    </row>
    <row r="374">
      <c r="B374" s="16"/>
      <c r="C374" s="16"/>
      <c r="D374" s="16"/>
    </row>
    <row r="375">
      <c r="B375" s="16"/>
      <c r="C375" s="16"/>
      <c r="D375" s="16"/>
    </row>
    <row r="376">
      <c r="B376" s="16"/>
      <c r="C376" s="16"/>
      <c r="D376" s="16"/>
    </row>
    <row r="377">
      <c r="B377" s="16"/>
      <c r="C377" s="16"/>
      <c r="D377" s="16"/>
    </row>
    <row r="378">
      <c r="B378" s="16"/>
      <c r="C378" s="16"/>
      <c r="D378" s="16"/>
    </row>
    <row r="379">
      <c r="B379" s="16"/>
      <c r="C379" s="16"/>
      <c r="D379" s="16"/>
    </row>
    <row r="380">
      <c r="B380" s="16"/>
      <c r="C380" s="16"/>
      <c r="D380" s="16"/>
    </row>
    <row r="381">
      <c r="B381" s="16"/>
      <c r="C381" s="16"/>
      <c r="D381" s="16"/>
    </row>
    <row r="382">
      <c r="B382" s="16"/>
      <c r="C382" s="16"/>
      <c r="D382" s="16"/>
    </row>
    <row r="383">
      <c r="B383" s="16"/>
      <c r="C383" s="16"/>
      <c r="D383" s="16"/>
    </row>
    <row r="384">
      <c r="B384" s="16"/>
      <c r="C384" s="16"/>
      <c r="D384" s="16"/>
    </row>
    <row r="385">
      <c r="B385" s="16"/>
      <c r="C385" s="16"/>
      <c r="D385" s="16"/>
    </row>
    <row r="386">
      <c r="B386" s="16"/>
      <c r="C386" s="16"/>
      <c r="D386" s="16"/>
    </row>
    <row r="387">
      <c r="B387" s="16"/>
      <c r="C387" s="16"/>
      <c r="D387" s="16"/>
    </row>
    <row r="388">
      <c r="B388" s="16"/>
      <c r="C388" s="16"/>
      <c r="D388" s="16"/>
    </row>
    <row r="389">
      <c r="B389" s="16"/>
      <c r="C389" s="16"/>
      <c r="D389" s="16"/>
    </row>
    <row r="390">
      <c r="B390" s="16"/>
      <c r="C390" s="16"/>
      <c r="D390" s="16"/>
    </row>
    <row r="391">
      <c r="B391" s="16"/>
      <c r="C391" s="16"/>
      <c r="D391" s="16"/>
    </row>
    <row r="392">
      <c r="B392" s="16"/>
      <c r="C392" s="16"/>
      <c r="D392" s="16"/>
    </row>
    <row r="393">
      <c r="B393" s="16"/>
      <c r="C393" s="16"/>
      <c r="D393" s="16"/>
    </row>
    <row r="394">
      <c r="B394" s="16"/>
      <c r="C394" s="16"/>
      <c r="D394" s="16"/>
    </row>
    <row r="395">
      <c r="B395" s="16"/>
      <c r="C395" s="16"/>
      <c r="D395" s="16"/>
    </row>
    <row r="396">
      <c r="B396" s="16"/>
      <c r="C396" s="16"/>
      <c r="D396" s="16"/>
    </row>
    <row r="397">
      <c r="B397" s="16"/>
      <c r="C397" s="16"/>
      <c r="D397" s="16"/>
    </row>
    <row r="398">
      <c r="B398" s="16"/>
      <c r="C398" s="16"/>
      <c r="D398" s="16"/>
    </row>
    <row r="399">
      <c r="B399" s="16"/>
      <c r="C399" s="16"/>
      <c r="D399" s="16"/>
    </row>
    <row r="400">
      <c r="B400" s="16"/>
      <c r="C400" s="16"/>
      <c r="D400" s="16"/>
    </row>
    <row r="401">
      <c r="B401" s="16"/>
      <c r="C401" s="16"/>
      <c r="D401" s="16"/>
    </row>
    <row r="402">
      <c r="B402" s="16"/>
      <c r="C402" s="16"/>
      <c r="D402" s="16"/>
    </row>
    <row r="403">
      <c r="B403" s="16"/>
      <c r="C403" s="16"/>
      <c r="D403" s="16"/>
    </row>
    <row r="404">
      <c r="B404" s="16"/>
      <c r="C404" s="16"/>
      <c r="D404" s="16"/>
    </row>
    <row r="405">
      <c r="B405" s="16"/>
      <c r="C405" s="16"/>
      <c r="D405" s="16"/>
    </row>
    <row r="406">
      <c r="B406" s="16"/>
      <c r="C406" s="16"/>
      <c r="D406" s="16"/>
    </row>
    <row r="407">
      <c r="B407" s="16"/>
      <c r="C407" s="16"/>
      <c r="D407" s="16"/>
    </row>
    <row r="408">
      <c r="B408" s="16"/>
      <c r="C408" s="16"/>
      <c r="D408" s="16"/>
    </row>
    <row r="409">
      <c r="B409" s="16"/>
      <c r="C409" s="16"/>
      <c r="D409" s="16"/>
    </row>
    <row r="410">
      <c r="B410" s="16"/>
      <c r="C410" s="16"/>
      <c r="D410" s="16"/>
    </row>
    <row r="411">
      <c r="B411" s="16"/>
      <c r="C411" s="16"/>
      <c r="D411" s="16"/>
    </row>
    <row r="412">
      <c r="B412" s="16"/>
      <c r="C412" s="16"/>
      <c r="D412" s="16"/>
    </row>
    <row r="413">
      <c r="B413" s="16"/>
      <c r="C413" s="16"/>
      <c r="D413" s="16"/>
    </row>
    <row r="414">
      <c r="B414" s="16"/>
      <c r="C414" s="16"/>
      <c r="D414" s="16"/>
    </row>
    <row r="415">
      <c r="B415" s="16"/>
      <c r="C415" s="16"/>
      <c r="D415" s="16"/>
    </row>
    <row r="416">
      <c r="B416" s="16"/>
      <c r="C416" s="16"/>
      <c r="D416" s="16"/>
    </row>
    <row r="417">
      <c r="B417" s="16"/>
      <c r="C417" s="16"/>
      <c r="D417" s="16"/>
    </row>
    <row r="418">
      <c r="B418" s="16"/>
      <c r="C418" s="16"/>
      <c r="D418" s="16"/>
    </row>
    <row r="419">
      <c r="B419" s="16"/>
      <c r="C419" s="16"/>
      <c r="D419" s="16"/>
    </row>
    <row r="420">
      <c r="B420" s="16"/>
      <c r="C420" s="16"/>
      <c r="D420" s="16"/>
    </row>
    <row r="421">
      <c r="B421" s="16"/>
      <c r="C421" s="16"/>
      <c r="D421" s="16"/>
    </row>
    <row r="422">
      <c r="B422" s="16"/>
      <c r="C422" s="16"/>
      <c r="D422" s="16"/>
    </row>
    <row r="423">
      <c r="B423" s="16"/>
      <c r="C423" s="16"/>
      <c r="D423" s="16"/>
    </row>
    <row r="424">
      <c r="B424" s="16"/>
      <c r="C424" s="16"/>
      <c r="D424" s="16"/>
    </row>
    <row r="425">
      <c r="B425" s="16"/>
      <c r="C425" s="16"/>
      <c r="D425" s="16"/>
    </row>
    <row r="426">
      <c r="B426" s="16"/>
      <c r="C426" s="16"/>
      <c r="D426" s="16"/>
    </row>
    <row r="427">
      <c r="B427" s="16"/>
      <c r="C427" s="16"/>
      <c r="D427" s="16"/>
    </row>
    <row r="428">
      <c r="B428" s="16"/>
      <c r="C428" s="16"/>
      <c r="D428" s="16"/>
    </row>
    <row r="429">
      <c r="B429" s="16"/>
      <c r="C429" s="16"/>
      <c r="D429" s="16"/>
    </row>
    <row r="430">
      <c r="B430" s="16"/>
      <c r="C430" s="16"/>
      <c r="D430" s="16"/>
    </row>
    <row r="431">
      <c r="B431" s="16"/>
      <c r="C431" s="16"/>
      <c r="D431" s="16"/>
    </row>
    <row r="432">
      <c r="B432" s="16"/>
      <c r="C432" s="16"/>
      <c r="D432" s="16"/>
    </row>
    <row r="433">
      <c r="B433" s="16"/>
      <c r="C433" s="16"/>
      <c r="D433" s="16"/>
    </row>
    <row r="434">
      <c r="B434" s="16"/>
      <c r="C434" s="16"/>
      <c r="D434" s="16"/>
    </row>
    <row r="435">
      <c r="B435" s="16"/>
      <c r="C435" s="16"/>
      <c r="D435" s="16"/>
    </row>
    <row r="436">
      <c r="B436" s="16"/>
      <c r="C436" s="16"/>
      <c r="D436" s="16"/>
    </row>
    <row r="437">
      <c r="B437" s="16"/>
      <c r="C437" s="16"/>
      <c r="D437" s="16"/>
    </row>
    <row r="438">
      <c r="B438" s="16"/>
      <c r="C438" s="16"/>
      <c r="D438" s="16"/>
    </row>
    <row r="439">
      <c r="B439" s="16"/>
      <c r="C439" s="16"/>
      <c r="D439" s="16"/>
    </row>
    <row r="440">
      <c r="B440" s="16"/>
      <c r="C440" s="16"/>
      <c r="D440" s="16"/>
    </row>
    <row r="441">
      <c r="B441" s="16"/>
      <c r="C441" s="16"/>
      <c r="D441" s="16"/>
    </row>
    <row r="442">
      <c r="B442" s="16"/>
      <c r="C442" s="16"/>
      <c r="D442" s="16"/>
    </row>
    <row r="443">
      <c r="B443" s="16"/>
      <c r="C443" s="16"/>
      <c r="D443" s="16"/>
    </row>
    <row r="444">
      <c r="B444" s="16"/>
      <c r="C444" s="16"/>
      <c r="D444" s="16"/>
    </row>
    <row r="445">
      <c r="B445" s="16"/>
      <c r="C445" s="16"/>
      <c r="D445" s="16"/>
    </row>
    <row r="446">
      <c r="B446" s="16"/>
      <c r="C446" s="16"/>
      <c r="D446" s="16"/>
    </row>
    <row r="447">
      <c r="B447" s="16"/>
      <c r="C447" s="16"/>
      <c r="D447" s="16"/>
    </row>
    <row r="448">
      <c r="B448" s="16"/>
      <c r="C448" s="16"/>
      <c r="D448" s="16"/>
    </row>
    <row r="449">
      <c r="B449" s="16"/>
      <c r="C449" s="16"/>
      <c r="D449" s="16"/>
    </row>
    <row r="450">
      <c r="B450" s="16"/>
      <c r="C450" s="16"/>
      <c r="D450" s="16"/>
    </row>
    <row r="451">
      <c r="B451" s="16"/>
      <c r="C451" s="16"/>
      <c r="D451" s="16"/>
    </row>
    <row r="452">
      <c r="B452" s="16"/>
      <c r="C452" s="16"/>
      <c r="D452" s="16"/>
    </row>
    <row r="453">
      <c r="B453" s="16"/>
      <c r="C453" s="16"/>
      <c r="D453" s="16"/>
    </row>
    <row r="454">
      <c r="B454" s="16"/>
      <c r="C454" s="16"/>
      <c r="D454" s="16"/>
    </row>
    <row r="455">
      <c r="B455" s="16"/>
      <c r="C455" s="16"/>
      <c r="D455" s="16"/>
    </row>
    <row r="456">
      <c r="B456" s="16"/>
      <c r="C456" s="16"/>
      <c r="D456" s="16"/>
    </row>
    <row r="457">
      <c r="B457" s="16"/>
      <c r="C457" s="16"/>
      <c r="D457" s="16"/>
    </row>
    <row r="458">
      <c r="B458" s="16"/>
      <c r="C458" s="16"/>
      <c r="D458" s="16"/>
    </row>
    <row r="459">
      <c r="B459" s="16"/>
      <c r="C459" s="16"/>
      <c r="D459" s="16"/>
    </row>
    <row r="460">
      <c r="B460" s="16"/>
      <c r="C460" s="16"/>
      <c r="D460" s="16"/>
    </row>
    <row r="461">
      <c r="B461" s="16"/>
      <c r="C461" s="16"/>
      <c r="D461" s="16"/>
    </row>
    <row r="462">
      <c r="B462" s="16"/>
      <c r="C462" s="16"/>
      <c r="D462" s="16"/>
    </row>
    <row r="463">
      <c r="B463" s="16"/>
      <c r="C463" s="16"/>
      <c r="D463" s="16"/>
    </row>
    <row r="464">
      <c r="B464" s="16"/>
      <c r="C464" s="16"/>
      <c r="D464" s="16"/>
    </row>
    <row r="465">
      <c r="B465" s="16"/>
      <c r="C465" s="16"/>
      <c r="D465" s="16"/>
    </row>
    <row r="466">
      <c r="B466" s="16"/>
      <c r="C466" s="16"/>
      <c r="D466" s="16"/>
    </row>
    <row r="467">
      <c r="B467" s="16"/>
      <c r="C467" s="16"/>
      <c r="D467" s="16"/>
    </row>
    <row r="468">
      <c r="B468" s="16"/>
      <c r="C468" s="16"/>
      <c r="D468" s="16"/>
    </row>
    <row r="469">
      <c r="B469" s="16"/>
      <c r="C469" s="16"/>
      <c r="D469" s="16"/>
    </row>
    <row r="470">
      <c r="B470" s="16"/>
      <c r="C470" s="16"/>
      <c r="D470" s="16"/>
    </row>
    <row r="471">
      <c r="B471" s="16"/>
      <c r="C471" s="16"/>
      <c r="D471" s="16"/>
    </row>
    <row r="472">
      <c r="B472" s="16"/>
      <c r="C472" s="16"/>
      <c r="D472" s="16"/>
    </row>
    <row r="473">
      <c r="B473" s="16"/>
      <c r="C473" s="16"/>
      <c r="D473" s="16"/>
    </row>
    <row r="474">
      <c r="B474" s="16"/>
      <c r="C474" s="16"/>
      <c r="D474" s="16"/>
    </row>
    <row r="475">
      <c r="B475" s="16"/>
      <c r="C475" s="16"/>
      <c r="D475" s="16"/>
    </row>
    <row r="476">
      <c r="B476" s="16"/>
      <c r="C476" s="16"/>
      <c r="D476" s="16"/>
    </row>
    <row r="477">
      <c r="B477" s="16"/>
      <c r="C477" s="16"/>
      <c r="D477" s="16"/>
    </row>
    <row r="478">
      <c r="B478" s="16"/>
      <c r="C478" s="16"/>
      <c r="D478" s="16"/>
    </row>
    <row r="479">
      <c r="B479" s="16"/>
      <c r="C479" s="16"/>
      <c r="D479" s="16"/>
    </row>
    <row r="480">
      <c r="B480" s="16"/>
      <c r="C480" s="16"/>
      <c r="D480" s="16"/>
    </row>
    <row r="481">
      <c r="B481" s="16"/>
      <c r="C481" s="16"/>
      <c r="D481" s="16"/>
    </row>
    <row r="482">
      <c r="B482" s="16"/>
      <c r="C482" s="16"/>
      <c r="D482" s="16"/>
    </row>
    <row r="483">
      <c r="B483" s="16"/>
      <c r="C483" s="16"/>
      <c r="D483" s="16"/>
    </row>
    <row r="484">
      <c r="B484" s="16"/>
      <c r="C484" s="16"/>
      <c r="D484" s="16"/>
    </row>
    <row r="485">
      <c r="B485" s="16"/>
      <c r="C485" s="16"/>
      <c r="D485" s="16"/>
    </row>
    <row r="486">
      <c r="B486" s="16"/>
      <c r="C486" s="16"/>
      <c r="D486" s="16"/>
    </row>
    <row r="487">
      <c r="B487" s="16"/>
      <c r="C487" s="16"/>
      <c r="D487" s="16"/>
    </row>
    <row r="488">
      <c r="B488" s="16"/>
      <c r="C488" s="16"/>
      <c r="D488" s="16"/>
    </row>
    <row r="489">
      <c r="B489" s="16"/>
      <c r="C489" s="16"/>
      <c r="D489" s="16"/>
    </row>
    <row r="490">
      <c r="B490" s="16"/>
      <c r="C490" s="16"/>
      <c r="D490" s="16"/>
    </row>
    <row r="491">
      <c r="B491" s="16"/>
      <c r="C491" s="16"/>
      <c r="D491" s="16"/>
    </row>
    <row r="492">
      <c r="B492" s="16"/>
      <c r="C492" s="16"/>
      <c r="D492" s="16"/>
    </row>
    <row r="493">
      <c r="B493" s="16"/>
      <c r="C493" s="16"/>
      <c r="D493" s="16"/>
    </row>
    <row r="494">
      <c r="B494" s="16"/>
      <c r="C494" s="16"/>
      <c r="D494" s="16"/>
    </row>
    <row r="495">
      <c r="B495" s="16"/>
      <c r="C495" s="16"/>
      <c r="D495" s="16"/>
    </row>
    <row r="496">
      <c r="B496" s="16"/>
      <c r="C496" s="16"/>
      <c r="D496" s="16"/>
    </row>
    <row r="497">
      <c r="B497" s="16"/>
      <c r="C497" s="16"/>
      <c r="D497" s="16"/>
    </row>
    <row r="498">
      <c r="B498" s="16"/>
      <c r="C498" s="16"/>
      <c r="D498" s="16"/>
    </row>
    <row r="499">
      <c r="B499" s="16"/>
      <c r="C499" s="16"/>
      <c r="D499" s="16"/>
    </row>
    <row r="500">
      <c r="B500" s="16"/>
      <c r="C500" s="16"/>
      <c r="D500" s="16"/>
    </row>
    <row r="501">
      <c r="B501" s="16"/>
      <c r="C501" s="16"/>
      <c r="D501" s="16"/>
    </row>
    <row r="502">
      <c r="B502" s="16"/>
      <c r="C502" s="16"/>
      <c r="D502" s="16"/>
    </row>
    <row r="503">
      <c r="B503" s="16"/>
      <c r="C503" s="16"/>
      <c r="D503" s="16"/>
    </row>
    <row r="504">
      <c r="B504" s="16"/>
      <c r="C504" s="16"/>
      <c r="D504" s="16"/>
    </row>
    <row r="505">
      <c r="B505" s="16"/>
      <c r="C505" s="16"/>
      <c r="D505" s="16"/>
    </row>
    <row r="506">
      <c r="B506" s="16"/>
      <c r="C506" s="16"/>
      <c r="D506" s="16"/>
    </row>
    <row r="507">
      <c r="B507" s="16"/>
      <c r="C507" s="16"/>
      <c r="D507" s="16"/>
    </row>
    <row r="508">
      <c r="B508" s="16"/>
      <c r="C508" s="16"/>
      <c r="D508" s="16"/>
    </row>
    <row r="509">
      <c r="B509" s="16"/>
      <c r="C509" s="16"/>
      <c r="D509" s="16"/>
    </row>
    <row r="510">
      <c r="B510" s="16"/>
      <c r="C510" s="16"/>
      <c r="D510" s="16"/>
    </row>
    <row r="511">
      <c r="B511" s="16"/>
      <c r="C511" s="16"/>
      <c r="D511" s="16"/>
    </row>
    <row r="512">
      <c r="B512" s="16"/>
      <c r="C512" s="16"/>
      <c r="D512" s="16"/>
    </row>
    <row r="513">
      <c r="B513" s="16"/>
      <c r="C513" s="16"/>
      <c r="D513" s="16"/>
    </row>
    <row r="514">
      <c r="B514" s="16"/>
      <c r="C514" s="16"/>
      <c r="D514" s="16"/>
    </row>
    <row r="515">
      <c r="B515" s="16"/>
      <c r="C515" s="16"/>
      <c r="D515" s="16"/>
    </row>
    <row r="516">
      <c r="B516" s="16"/>
      <c r="C516" s="16"/>
      <c r="D516" s="16"/>
    </row>
    <row r="517">
      <c r="B517" s="16"/>
      <c r="C517" s="16"/>
      <c r="D517" s="16"/>
    </row>
    <row r="518">
      <c r="B518" s="16"/>
      <c r="C518" s="16"/>
      <c r="D518" s="16"/>
    </row>
    <row r="519">
      <c r="B519" s="16"/>
      <c r="C519" s="16"/>
      <c r="D519" s="16"/>
    </row>
    <row r="520">
      <c r="B520" s="16"/>
      <c r="C520" s="16"/>
      <c r="D520" s="16"/>
    </row>
    <row r="521">
      <c r="B521" s="16"/>
      <c r="C521" s="16"/>
      <c r="D521" s="16"/>
    </row>
    <row r="522">
      <c r="B522" s="16"/>
      <c r="C522" s="16"/>
      <c r="D522" s="16"/>
    </row>
    <row r="523">
      <c r="B523" s="16"/>
      <c r="C523" s="16"/>
      <c r="D523" s="16"/>
    </row>
    <row r="524">
      <c r="B524" s="16"/>
      <c r="C524" s="16"/>
      <c r="D524" s="16"/>
    </row>
    <row r="525">
      <c r="B525" s="16"/>
      <c r="C525" s="16"/>
      <c r="D525" s="16"/>
    </row>
    <row r="526">
      <c r="B526" s="16"/>
      <c r="C526" s="16"/>
      <c r="D526" s="16"/>
    </row>
    <row r="527">
      <c r="B527" s="16"/>
      <c r="C527" s="16"/>
      <c r="D527" s="16"/>
    </row>
    <row r="528">
      <c r="B528" s="16"/>
      <c r="C528" s="16"/>
      <c r="D528" s="16"/>
    </row>
    <row r="529">
      <c r="B529" s="16"/>
      <c r="C529" s="16"/>
      <c r="D529" s="16"/>
    </row>
    <row r="530">
      <c r="B530" s="16"/>
      <c r="C530" s="16"/>
      <c r="D530" s="16"/>
    </row>
    <row r="531">
      <c r="B531" s="16"/>
      <c r="C531" s="16"/>
      <c r="D531" s="16"/>
    </row>
    <row r="532">
      <c r="B532" s="16"/>
      <c r="C532" s="16"/>
      <c r="D532" s="16"/>
    </row>
    <row r="533">
      <c r="B533" s="16"/>
      <c r="C533" s="16"/>
      <c r="D533" s="16"/>
    </row>
    <row r="534">
      <c r="B534" s="16"/>
      <c r="C534" s="16"/>
      <c r="D534" s="16"/>
    </row>
    <row r="535">
      <c r="B535" s="16"/>
      <c r="C535" s="16"/>
      <c r="D535" s="16"/>
    </row>
    <row r="536">
      <c r="B536" s="16"/>
      <c r="C536" s="16"/>
      <c r="D536" s="16"/>
    </row>
    <row r="537">
      <c r="B537" s="16"/>
      <c r="C537" s="16"/>
      <c r="D537" s="16"/>
    </row>
    <row r="538">
      <c r="B538" s="16"/>
      <c r="C538" s="16"/>
      <c r="D538" s="16"/>
    </row>
    <row r="539">
      <c r="B539" s="16"/>
      <c r="C539" s="16"/>
      <c r="D539" s="16"/>
    </row>
    <row r="540">
      <c r="B540" s="16"/>
      <c r="C540" s="16"/>
      <c r="D540" s="16"/>
    </row>
    <row r="541">
      <c r="B541" s="16"/>
      <c r="C541" s="16"/>
      <c r="D541" s="16"/>
    </row>
    <row r="542">
      <c r="B542" s="16"/>
      <c r="C542" s="16"/>
      <c r="D542" s="16"/>
    </row>
    <row r="543">
      <c r="B543" s="16"/>
      <c r="C543" s="16"/>
      <c r="D543" s="16"/>
    </row>
    <row r="544">
      <c r="B544" s="16"/>
      <c r="C544" s="16"/>
      <c r="D544" s="16"/>
    </row>
    <row r="545">
      <c r="B545" s="16"/>
      <c r="C545" s="16"/>
      <c r="D545" s="16"/>
    </row>
    <row r="546">
      <c r="B546" s="16"/>
      <c r="C546" s="16"/>
      <c r="D546" s="16"/>
    </row>
    <row r="547">
      <c r="B547" s="16"/>
      <c r="C547" s="16"/>
      <c r="D547" s="16"/>
    </row>
    <row r="548">
      <c r="B548" s="16"/>
      <c r="C548" s="16"/>
      <c r="D548" s="16"/>
    </row>
    <row r="549">
      <c r="B549" s="16"/>
      <c r="C549" s="16"/>
      <c r="D549" s="16"/>
    </row>
    <row r="550">
      <c r="B550" s="16"/>
      <c r="C550" s="16"/>
      <c r="D550" s="16"/>
    </row>
    <row r="551">
      <c r="B551" s="16"/>
      <c r="C551" s="16"/>
      <c r="D551" s="16"/>
    </row>
    <row r="552">
      <c r="B552" s="16"/>
      <c r="C552" s="16"/>
      <c r="D552" s="16"/>
    </row>
    <row r="553">
      <c r="B553" s="16"/>
      <c r="C553" s="16"/>
      <c r="D553" s="16"/>
    </row>
    <row r="554">
      <c r="B554" s="16"/>
      <c r="C554" s="16"/>
      <c r="D554" s="16"/>
    </row>
    <row r="555">
      <c r="B555" s="16"/>
      <c r="C555" s="16"/>
      <c r="D555" s="16"/>
    </row>
    <row r="556">
      <c r="B556" s="16"/>
      <c r="C556" s="16"/>
      <c r="D556" s="16"/>
    </row>
    <row r="557">
      <c r="B557" s="16"/>
      <c r="C557" s="16"/>
      <c r="D557" s="16"/>
    </row>
    <row r="558">
      <c r="B558" s="16"/>
      <c r="C558" s="16"/>
      <c r="D558" s="16"/>
    </row>
    <row r="559">
      <c r="B559" s="16"/>
      <c r="C559" s="16"/>
      <c r="D559" s="16"/>
    </row>
    <row r="560">
      <c r="B560" s="16"/>
      <c r="C560" s="16"/>
      <c r="D560" s="16"/>
    </row>
    <row r="561">
      <c r="B561" s="16"/>
      <c r="C561" s="16"/>
      <c r="D561" s="16"/>
    </row>
    <row r="562">
      <c r="B562" s="16"/>
      <c r="C562" s="16"/>
      <c r="D562" s="16"/>
    </row>
    <row r="563">
      <c r="B563" s="16"/>
      <c r="C563" s="16"/>
      <c r="D563" s="16"/>
    </row>
    <row r="564">
      <c r="B564" s="16"/>
      <c r="C564" s="16"/>
      <c r="D564" s="16"/>
    </row>
    <row r="565">
      <c r="B565" s="16"/>
      <c r="C565" s="16"/>
      <c r="D565" s="16"/>
    </row>
    <row r="566">
      <c r="B566" s="16"/>
      <c r="C566" s="16"/>
      <c r="D566" s="16"/>
    </row>
    <row r="567">
      <c r="B567" s="16"/>
      <c r="C567" s="16"/>
      <c r="D567" s="16"/>
    </row>
    <row r="568">
      <c r="B568" s="16"/>
      <c r="C568" s="16"/>
      <c r="D568" s="16"/>
    </row>
    <row r="569">
      <c r="B569" s="16"/>
      <c r="C569" s="16"/>
      <c r="D569" s="16"/>
    </row>
    <row r="570">
      <c r="B570" s="16"/>
      <c r="C570" s="16"/>
      <c r="D570" s="16"/>
    </row>
    <row r="571">
      <c r="B571" s="16"/>
      <c r="C571" s="16"/>
      <c r="D571" s="16"/>
    </row>
    <row r="572">
      <c r="B572" s="16"/>
      <c r="C572" s="16"/>
      <c r="D572" s="16"/>
    </row>
    <row r="573">
      <c r="B573" s="16"/>
      <c r="C573" s="16"/>
      <c r="D573" s="16"/>
    </row>
    <row r="574">
      <c r="B574" s="16"/>
      <c r="C574" s="16"/>
      <c r="D574" s="16"/>
    </row>
    <row r="575">
      <c r="B575" s="16"/>
      <c r="C575" s="16"/>
      <c r="D575" s="16"/>
    </row>
    <row r="576">
      <c r="B576" s="16"/>
      <c r="C576" s="16"/>
      <c r="D576" s="16"/>
    </row>
    <row r="577">
      <c r="B577" s="16"/>
      <c r="C577" s="16"/>
      <c r="D577" s="16"/>
    </row>
    <row r="578">
      <c r="B578" s="16"/>
      <c r="C578" s="16"/>
      <c r="D578" s="16"/>
    </row>
    <row r="579">
      <c r="B579" s="16"/>
      <c r="C579" s="16"/>
      <c r="D579" s="16"/>
    </row>
    <row r="580">
      <c r="B580" s="16"/>
      <c r="C580" s="16"/>
      <c r="D580" s="16"/>
    </row>
    <row r="581">
      <c r="B581" s="16"/>
      <c r="C581" s="16"/>
      <c r="D581" s="16"/>
    </row>
    <row r="582">
      <c r="B582" s="16"/>
      <c r="C582" s="16"/>
      <c r="D582" s="16"/>
    </row>
    <row r="583">
      <c r="B583" s="16"/>
      <c r="C583" s="16"/>
      <c r="D583" s="16"/>
    </row>
    <row r="584">
      <c r="B584" s="16"/>
      <c r="C584" s="16"/>
      <c r="D584" s="16"/>
    </row>
    <row r="585">
      <c r="B585" s="16"/>
      <c r="C585" s="16"/>
      <c r="D585" s="16"/>
    </row>
    <row r="586">
      <c r="B586" s="16"/>
      <c r="C586" s="16"/>
      <c r="D586" s="16"/>
    </row>
    <row r="587">
      <c r="B587" s="16"/>
      <c r="C587" s="16"/>
      <c r="D587" s="16"/>
    </row>
    <row r="588">
      <c r="B588" s="16"/>
      <c r="C588" s="16"/>
      <c r="D588" s="16"/>
    </row>
    <row r="589">
      <c r="B589" s="16"/>
      <c r="C589" s="16"/>
      <c r="D589" s="16"/>
    </row>
    <row r="590">
      <c r="B590" s="16"/>
      <c r="C590" s="16"/>
      <c r="D590" s="16"/>
    </row>
    <row r="591">
      <c r="B591" s="16"/>
      <c r="C591" s="16"/>
      <c r="D591" s="16"/>
    </row>
    <row r="592">
      <c r="B592" s="16"/>
      <c r="C592" s="16"/>
      <c r="D592" s="16"/>
    </row>
    <row r="593">
      <c r="B593" s="16"/>
      <c r="C593" s="16"/>
      <c r="D593" s="16"/>
    </row>
    <row r="594">
      <c r="B594" s="16"/>
      <c r="C594" s="16"/>
      <c r="D594" s="16"/>
    </row>
    <row r="595">
      <c r="B595" s="16"/>
      <c r="C595" s="16"/>
      <c r="D595" s="16"/>
    </row>
    <row r="596">
      <c r="B596" s="16"/>
      <c r="C596" s="16"/>
      <c r="D596" s="16"/>
    </row>
    <row r="597">
      <c r="B597" s="16"/>
      <c r="C597" s="16"/>
      <c r="D597" s="16"/>
    </row>
    <row r="598">
      <c r="B598" s="16"/>
      <c r="C598" s="16"/>
      <c r="D598" s="16"/>
    </row>
    <row r="599">
      <c r="B599" s="16"/>
      <c r="C599" s="16"/>
      <c r="D599" s="16"/>
    </row>
    <row r="600">
      <c r="B600" s="16"/>
      <c r="C600" s="16"/>
      <c r="D600" s="16"/>
    </row>
    <row r="601">
      <c r="B601" s="16"/>
      <c r="C601" s="16"/>
      <c r="D601" s="16"/>
    </row>
    <row r="602">
      <c r="B602" s="16"/>
      <c r="C602" s="16"/>
      <c r="D602" s="16"/>
    </row>
    <row r="603">
      <c r="B603" s="16"/>
      <c r="C603" s="16"/>
      <c r="D603" s="16"/>
    </row>
    <row r="604">
      <c r="B604" s="16"/>
      <c r="C604" s="16"/>
      <c r="D604" s="16"/>
    </row>
    <row r="605">
      <c r="B605" s="16"/>
      <c r="C605" s="16"/>
      <c r="D605" s="16"/>
    </row>
    <row r="606">
      <c r="B606" s="16"/>
      <c r="C606" s="16"/>
      <c r="D606" s="16"/>
    </row>
    <row r="607">
      <c r="B607" s="16"/>
      <c r="C607" s="16"/>
      <c r="D607" s="16"/>
    </row>
    <row r="608">
      <c r="B608" s="16"/>
      <c r="C608" s="16"/>
      <c r="D608" s="16"/>
    </row>
    <row r="609">
      <c r="B609" s="16"/>
      <c r="C609" s="16"/>
      <c r="D609" s="16"/>
    </row>
    <row r="610">
      <c r="B610" s="16"/>
      <c r="C610" s="16"/>
      <c r="D610" s="16"/>
    </row>
    <row r="611">
      <c r="B611" s="16"/>
      <c r="C611" s="16"/>
      <c r="D611" s="16"/>
    </row>
    <row r="612">
      <c r="B612" s="16"/>
      <c r="C612" s="16"/>
      <c r="D612" s="16"/>
    </row>
    <row r="613">
      <c r="B613" s="16"/>
      <c r="C613" s="16"/>
      <c r="D613" s="16"/>
    </row>
    <row r="614">
      <c r="B614" s="16"/>
      <c r="C614" s="16"/>
      <c r="D614" s="16"/>
    </row>
    <row r="615">
      <c r="B615" s="16"/>
      <c r="C615" s="16"/>
      <c r="D615" s="16"/>
    </row>
    <row r="616">
      <c r="B616" s="16"/>
      <c r="C616" s="16"/>
      <c r="D616" s="16"/>
    </row>
    <row r="617">
      <c r="B617" s="16"/>
      <c r="C617" s="16"/>
      <c r="D617" s="16"/>
    </row>
    <row r="618">
      <c r="B618" s="16"/>
      <c r="C618" s="16"/>
      <c r="D618" s="16"/>
    </row>
    <row r="619">
      <c r="B619" s="16"/>
      <c r="C619" s="16"/>
      <c r="D619" s="16"/>
    </row>
    <row r="620">
      <c r="B620" s="16"/>
      <c r="C620" s="16"/>
      <c r="D620" s="16"/>
    </row>
    <row r="621">
      <c r="B621" s="16"/>
      <c r="C621" s="16"/>
      <c r="D621" s="16"/>
    </row>
    <row r="622">
      <c r="B622" s="16"/>
      <c r="C622" s="16"/>
      <c r="D622" s="16"/>
    </row>
    <row r="623">
      <c r="B623" s="16"/>
      <c r="C623" s="16"/>
      <c r="D623" s="16"/>
    </row>
    <row r="624">
      <c r="B624" s="16"/>
      <c r="C624" s="16"/>
      <c r="D624" s="16"/>
    </row>
    <row r="625">
      <c r="B625" s="16"/>
      <c r="C625" s="16"/>
      <c r="D625" s="16"/>
    </row>
    <row r="626">
      <c r="B626" s="16"/>
      <c r="C626" s="16"/>
      <c r="D626" s="16"/>
    </row>
    <row r="627">
      <c r="B627" s="16"/>
      <c r="C627" s="16"/>
      <c r="D627" s="16"/>
    </row>
    <row r="628">
      <c r="B628" s="16"/>
      <c r="C628" s="16"/>
      <c r="D628" s="16"/>
    </row>
    <row r="629">
      <c r="B629" s="16"/>
      <c r="C629" s="16"/>
      <c r="D629" s="16"/>
    </row>
    <row r="630">
      <c r="B630" s="16"/>
      <c r="C630" s="16"/>
      <c r="D630" s="16"/>
    </row>
    <row r="631">
      <c r="B631" s="16"/>
      <c r="C631" s="16"/>
      <c r="D631" s="16"/>
    </row>
    <row r="632">
      <c r="B632" s="16"/>
      <c r="C632" s="16"/>
      <c r="D632" s="16"/>
    </row>
    <row r="633">
      <c r="B633" s="16"/>
      <c r="C633" s="16"/>
      <c r="D633" s="16"/>
    </row>
    <row r="634">
      <c r="B634" s="16"/>
      <c r="C634" s="16"/>
      <c r="D634" s="16"/>
    </row>
    <row r="635">
      <c r="B635" s="16"/>
      <c r="C635" s="16"/>
      <c r="D635" s="16"/>
    </row>
    <row r="636">
      <c r="B636" s="16"/>
      <c r="C636" s="16"/>
      <c r="D636" s="16"/>
    </row>
    <row r="637">
      <c r="B637" s="16"/>
      <c r="C637" s="16"/>
      <c r="D637" s="16"/>
    </row>
    <row r="638">
      <c r="B638" s="16"/>
      <c r="C638" s="16"/>
      <c r="D638" s="16"/>
    </row>
    <row r="639">
      <c r="B639" s="16"/>
      <c r="C639" s="16"/>
      <c r="D639" s="16"/>
    </row>
    <row r="640">
      <c r="B640" s="16"/>
      <c r="C640" s="16"/>
      <c r="D640" s="16"/>
    </row>
    <row r="641">
      <c r="B641" s="16"/>
      <c r="C641" s="16"/>
      <c r="D641" s="16"/>
    </row>
    <row r="642">
      <c r="B642" s="16"/>
      <c r="C642" s="16"/>
      <c r="D642" s="16"/>
    </row>
    <row r="643">
      <c r="B643" s="16"/>
      <c r="C643" s="16"/>
      <c r="D643" s="16"/>
    </row>
    <row r="644">
      <c r="B644" s="16"/>
      <c r="C644" s="16"/>
      <c r="D644" s="16"/>
    </row>
    <row r="645">
      <c r="B645" s="16"/>
      <c r="C645" s="16"/>
      <c r="D645" s="16"/>
    </row>
    <row r="646">
      <c r="B646" s="16"/>
      <c r="C646" s="16"/>
      <c r="D646" s="16"/>
    </row>
    <row r="647">
      <c r="B647" s="16"/>
      <c r="C647" s="16"/>
      <c r="D647" s="16"/>
    </row>
    <row r="648">
      <c r="B648" s="16"/>
      <c r="C648" s="16"/>
      <c r="D648" s="16"/>
    </row>
    <row r="649">
      <c r="B649" s="16"/>
      <c r="C649" s="16"/>
      <c r="D649" s="16"/>
    </row>
    <row r="650">
      <c r="B650" s="16"/>
      <c r="C650" s="16"/>
      <c r="D650" s="16"/>
    </row>
    <row r="651">
      <c r="B651" s="16"/>
      <c r="C651" s="16"/>
      <c r="D651" s="16"/>
    </row>
    <row r="652">
      <c r="B652" s="16"/>
      <c r="C652" s="16"/>
      <c r="D652" s="16"/>
    </row>
    <row r="653">
      <c r="B653" s="16"/>
      <c r="C653" s="16"/>
      <c r="D653" s="16"/>
    </row>
    <row r="654">
      <c r="B654" s="16"/>
      <c r="C654" s="16"/>
      <c r="D654" s="16"/>
    </row>
    <row r="655">
      <c r="B655" s="16"/>
      <c r="C655" s="16"/>
      <c r="D655" s="16"/>
    </row>
    <row r="656">
      <c r="B656" s="16"/>
      <c r="C656" s="16"/>
      <c r="D656" s="16"/>
    </row>
    <row r="657">
      <c r="B657" s="16"/>
      <c r="C657" s="16"/>
      <c r="D657" s="16"/>
    </row>
    <row r="658">
      <c r="B658" s="16"/>
      <c r="C658" s="16"/>
      <c r="D658" s="16"/>
    </row>
    <row r="659">
      <c r="B659" s="16"/>
      <c r="C659" s="16"/>
      <c r="D659" s="16"/>
    </row>
    <row r="660">
      <c r="B660" s="16"/>
      <c r="C660" s="16"/>
      <c r="D660" s="16"/>
    </row>
    <row r="661">
      <c r="B661" s="16"/>
      <c r="C661" s="16"/>
      <c r="D661" s="16"/>
    </row>
    <row r="662">
      <c r="B662" s="16"/>
      <c r="C662" s="16"/>
      <c r="D662" s="16"/>
    </row>
    <row r="663">
      <c r="B663" s="16"/>
      <c r="C663" s="16"/>
      <c r="D663" s="16"/>
    </row>
    <row r="664">
      <c r="B664" s="16"/>
      <c r="C664" s="16"/>
      <c r="D664" s="16"/>
    </row>
    <row r="665">
      <c r="B665" s="16"/>
      <c r="C665" s="16"/>
      <c r="D665" s="16"/>
    </row>
    <row r="666">
      <c r="B666" s="16"/>
      <c r="C666" s="16"/>
      <c r="D666" s="16"/>
    </row>
    <row r="667">
      <c r="B667" s="16"/>
      <c r="C667" s="16"/>
      <c r="D667" s="16"/>
    </row>
    <row r="668">
      <c r="B668" s="16"/>
      <c r="C668" s="16"/>
      <c r="D668" s="16"/>
    </row>
    <row r="669">
      <c r="B669" s="16"/>
      <c r="C669" s="16"/>
      <c r="D669" s="16"/>
    </row>
    <row r="670">
      <c r="B670" s="16"/>
      <c r="C670" s="16"/>
      <c r="D670" s="16"/>
    </row>
    <row r="671">
      <c r="B671" s="16"/>
      <c r="C671" s="16"/>
      <c r="D671" s="16"/>
    </row>
    <row r="672">
      <c r="B672" s="16"/>
      <c r="C672" s="16"/>
      <c r="D672" s="16"/>
    </row>
    <row r="673">
      <c r="B673" s="16"/>
      <c r="C673" s="16"/>
      <c r="D673" s="16"/>
    </row>
    <row r="674">
      <c r="B674" s="16"/>
      <c r="C674" s="16"/>
      <c r="D674" s="16"/>
    </row>
    <row r="675">
      <c r="B675" s="16"/>
      <c r="C675" s="16"/>
      <c r="D675" s="16"/>
    </row>
    <row r="676">
      <c r="B676" s="16"/>
      <c r="C676" s="16"/>
      <c r="D676" s="16"/>
    </row>
    <row r="677">
      <c r="B677" s="16"/>
      <c r="C677" s="16"/>
      <c r="D677" s="16"/>
    </row>
    <row r="678">
      <c r="B678" s="16"/>
      <c r="C678" s="16"/>
      <c r="D678" s="16"/>
    </row>
    <row r="679">
      <c r="B679" s="16"/>
      <c r="C679" s="16"/>
      <c r="D679" s="16"/>
    </row>
    <row r="680">
      <c r="B680" s="16"/>
      <c r="C680" s="16"/>
      <c r="D680" s="16"/>
    </row>
    <row r="681">
      <c r="B681" s="16"/>
      <c r="C681" s="16"/>
      <c r="D681" s="16"/>
    </row>
    <row r="682">
      <c r="B682" s="16"/>
      <c r="C682" s="16"/>
      <c r="D682" s="16"/>
    </row>
    <row r="683">
      <c r="B683" s="16"/>
      <c r="C683" s="16"/>
      <c r="D683" s="16"/>
    </row>
    <row r="684">
      <c r="B684" s="16"/>
      <c r="C684" s="16"/>
      <c r="D684" s="16"/>
    </row>
    <row r="685">
      <c r="B685" s="16"/>
      <c r="C685" s="16"/>
      <c r="D685" s="16"/>
    </row>
    <row r="686">
      <c r="B686" s="16"/>
      <c r="C686" s="16"/>
      <c r="D686" s="16"/>
    </row>
    <row r="687">
      <c r="B687" s="16"/>
      <c r="C687" s="16"/>
      <c r="D687" s="16"/>
    </row>
    <row r="688">
      <c r="B688" s="16"/>
      <c r="C688" s="16"/>
      <c r="D688" s="16"/>
    </row>
    <row r="689">
      <c r="B689" s="16"/>
      <c r="C689" s="16"/>
      <c r="D689" s="16"/>
    </row>
    <row r="690">
      <c r="B690" s="16"/>
      <c r="C690" s="16"/>
      <c r="D690" s="16"/>
    </row>
    <row r="691">
      <c r="B691" s="16"/>
      <c r="C691" s="16"/>
      <c r="D691" s="16"/>
    </row>
    <row r="692">
      <c r="B692" s="16"/>
      <c r="C692" s="16"/>
      <c r="D692" s="16"/>
    </row>
    <row r="693">
      <c r="B693" s="16"/>
      <c r="C693" s="16"/>
      <c r="D693" s="16"/>
    </row>
    <row r="694">
      <c r="B694" s="16"/>
      <c r="C694" s="16"/>
      <c r="D694" s="16"/>
    </row>
    <row r="695">
      <c r="B695" s="16"/>
      <c r="C695" s="16"/>
      <c r="D695" s="16"/>
    </row>
    <row r="696">
      <c r="B696" s="16"/>
      <c r="C696" s="16"/>
      <c r="D696" s="16"/>
    </row>
    <row r="697">
      <c r="B697" s="16"/>
      <c r="C697" s="16"/>
      <c r="D697" s="16"/>
    </row>
    <row r="698">
      <c r="B698" s="16"/>
      <c r="C698" s="16"/>
      <c r="D698" s="16"/>
    </row>
    <row r="699">
      <c r="B699" s="16"/>
      <c r="C699" s="16"/>
      <c r="D699" s="16"/>
    </row>
    <row r="700">
      <c r="B700" s="16"/>
      <c r="C700" s="16"/>
      <c r="D700" s="16"/>
    </row>
    <row r="701">
      <c r="B701" s="16"/>
      <c r="C701" s="16"/>
      <c r="D701" s="16"/>
    </row>
    <row r="702">
      <c r="B702" s="16"/>
      <c r="C702" s="16"/>
      <c r="D702" s="16"/>
    </row>
    <row r="703">
      <c r="B703" s="16"/>
      <c r="C703" s="16"/>
      <c r="D703" s="16"/>
    </row>
    <row r="704">
      <c r="B704" s="16"/>
      <c r="C704" s="16"/>
      <c r="D704" s="16"/>
    </row>
    <row r="705">
      <c r="B705" s="16"/>
      <c r="C705" s="16"/>
      <c r="D705" s="16"/>
    </row>
    <row r="706">
      <c r="B706" s="16"/>
      <c r="C706" s="16"/>
      <c r="D706" s="16"/>
    </row>
    <row r="707">
      <c r="B707" s="16"/>
      <c r="C707" s="16"/>
      <c r="D707" s="16"/>
    </row>
    <row r="708">
      <c r="B708" s="16"/>
      <c r="C708" s="16"/>
      <c r="D708" s="16"/>
    </row>
    <row r="709">
      <c r="B709" s="16"/>
      <c r="C709" s="16"/>
      <c r="D709" s="16"/>
    </row>
    <row r="710">
      <c r="B710" s="16"/>
      <c r="C710" s="16"/>
      <c r="D710" s="16"/>
    </row>
    <row r="711">
      <c r="B711" s="16"/>
      <c r="C711" s="16"/>
      <c r="D711" s="16"/>
    </row>
    <row r="712">
      <c r="B712" s="16"/>
      <c r="C712" s="16"/>
      <c r="D712" s="16"/>
    </row>
    <row r="713">
      <c r="B713" s="16"/>
      <c r="C713" s="16"/>
      <c r="D713" s="16"/>
    </row>
    <row r="714">
      <c r="B714" s="16"/>
      <c r="C714" s="16"/>
      <c r="D714" s="16"/>
    </row>
    <row r="715">
      <c r="B715" s="16"/>
      <c r="C715" s="16"/>
      <c r="D715" s="16"/>
    </row>
    <row r="716">
      <c r="B716" s="16"/>
      <c r="C716" s="16"/>
      <c r="D716" s="16"/>
    </row>
    <row r="717">
      <c r="B717" s="16"/>
      <c r="C717" s="16"/>
      <c r="D717" s="16"/>
    </row>
    <row r="718">
      <c r="B718" s="16"/>
      <c r="C718" s="16"/>
      <c r="D718" s="16"/>
    </row>
    <row r="719">
      <c r="B719" s="16"/>
      <c r="C719" s="16"/>
      <c r="D719" s="16"/>
    </row>
    <row r="720">
      <c r="B720" s="16"/>
      <c r="C720" s="16"/>
      <c r="D720" s="16"/>
    </row>
    <row r="721">
      <c r="B721" s="16"/>
      <c r="C721" s="16"/>
      <c r="D721" s="16"/>
    </row>
    <row r="722">
      <c r="B722" s="16"/>
      <c r="C722" s="16"/>
      <c r="D722" s="16"/>
    </row>
    <row r="723">
      <c r="B723" s="16"/>
      <c r="C723" s="16"/>
      <c r="D723" s="16"/>
    </row>
    <row r="724">
      <c r="B724" s="16"/>
      <c r="C724" s="16"/>
      <c r="D724" s="16"/>
    </row>
    <row r="725">
      <c r="B725" s="16"/>
      <c r="C725" s="16"/>
      <c r="D725" s="16"/>
    </row>
    <row r="726">
      <c r="B726" s="16"/>
      <c r="C726" s="16"/>
      <c r="D726" s="16"/>
    </row>
    <row r="727">
      <c r="B727" s="16"/>
      <c r="C727" s="16"/>
      <c r="D727" s="16"/>
    </row>
    <row r="728">
      <c r="B728" s="16"/>
      <c r="C728" s="16"/>
      <c r="D728" s="16"/>
    </row>
    <row r="729">
      <c r="B729" s="16"/>
      <c r="C729" s="16"/>
      <c r="D729" s="16"/>
    </row>
    <row r="730">
      <c r="B730" s="16"/>
      <c r="C730" s="16"/>
      <c r="D730" s="16"/>
    </row>
    <row r="731">
      <c r="B731" s="16"/>
      <c r="C731" s="16"/>
      <c r="D731" s="16"/>
    </row>
    <row r="732">
      <c r="B732" s="16"/>
      <c r="C732" s="16"/>
      <c r="D732" s="16"/>
    </row>
    <row r="733">
      <c r="B733" s="16"/>
      <c r="C733" s="16"/>
      <c r="D733" s="16"/>
    </row>
    <row r="734">
      <c r="B734" s="16"/>
      <c r="C734" s="16"/>
      <c r="D734" s="16"/>
    </row>
    <row r="735">
      <c r="B735" s="16"/>
      <c r="C735" s="16"/>
      <c r="D735" s="16"/>
    </row>
    <row r="736">
      <c r="B736" s="16"/>
      <c r="C736" s="16"/>
      <c r="D736" s="16"/>
    </row>
    <row r="737">
      <c r="B737" s="16"/>
      <c r="C737" s="16"/>
      <c r="D737" s="16"/>
    </row>
    <row r="738">
      <c r="B738" s="16"/>
      <c r="C738" s="16"/>
      <c r="D738" s="16"/>
    </row>
    <row r="739">
      <c r="B739" s="16"/>
      <c r="C739" s="16"/>
      <c r="D739" s="16"/>
    </row>
    <row r="740">
      <c r="B740" s="16"/>
      <c r="C740" s="16"/>
      <c r="D740" s="16"/>
    </row>
    <row r="741">
      <c r="B741" s="16"/>
      <c r="C741" s="16"/>
      <c r="D741" s="16"/>
    </row>
    <row r="742">
      <c r="B742" s="16"/>
      <c r="C742" s="16"/>
      <c r="D742" s="16"/>
    </row>
    <row r="743">
      <c r="B743" s="16"/>
      <c r="C743" s="16"/>
      <c r="D743" s="16"/>
    </row>
    <row r="744">
      <c r="B744" s="16"/>
      <c r="C744" s="16"/>
      <c r="D744" s="16"/>
    </row>
    <row r="745">
      <c r="B745" s="16"/>
      <c r="C745" s="16"/>
      <c r="D745" s="16"/>
    </row>
    <row r="746">
      <c r="B746" s="16"/>
      <c r="C746" s="16"/>
      <c r="D746" s="16"/>
    </row>
    <row r="747">
      <c r="B747" s="16"/>
      <c r="C747" s="16"/>
      <c r="D747" s="16"/>
    </row>
    <row r="748">
      <c r="B748" s="16"/>
      <c r="C748" s="16"/>
      <c r="D748" s="16"/>
    </row>
    <row r="749">
      <c r="B749" s="16"/>
      <c r="C749" s="16"/>
      <c r="D749" s="16"/>
    </row>
    <row r="750">
      <c r="B750" s="16"/>
      <c r="C750" s="16"/>
      <c r="D750" s="16"/>
    </row>
    <row r="751">
      <c r="B751" s="16"/>
      <c r="C751" s="16"/>
      <c r="D751" s="16"/>
    </row>
    <row r="752">
      <c r="B752" s="16"/>
      <c r="C752" s="16"/>
      <c r="D752" s="16"/>
    </row>
    <row r="753">
      <c r="B753" s="16"/>
      <c r="C753" s="16"/>
      <c r="D753" s="16"/>
    </row>
    <row r="754">
      <c r="B754" s="16"/>
      <c r="C754" s="16"/>
      <c r="D754" s="16"/>
    </row>
    <row r="755">
      <c r="B755" s="16"/>
      <c r="C755" s="16"/>
      <c r="D755" s="16"/>
    </row>
    <row r="756">
      <c r="B756" s="16"/>
      <c r="C756" s="16"/>
      <c r="D756" s="16"/>
    </row>
    <row r="757">
      <c r="B757" s="16"/>
      <c r="C757" s="16"/>
      <c r="D757" s="16"/>
    </row>
    <row r="758">
      <c r="B758" s="16"/>
      <c r="C758" s="16"/>
      <c r="D758" s="16"/>
    </row>
    <row r="759">
      <c r="B759" s="16"/>
      <c r="C759" s="16"/>
      <c r="D759" s="16"/>
    </row>
    <row r="760">
      <c r="B760" s="16"/>
      <c r="C760" s="16"/>
      <c r="D760" s="16"/>
    </row>
    <row r="761">
      <c r="B761" s="16"/>
      <c r="C761" s="16"/>
      <c r="D761" s="16"/>
    </row>
    <row r="762">
      <c r="B762" s="16"/>
      <c r="C762" s="16"/>
      <c r="D762" s="16"/>
    </row>
    <row r="763">
      <c r="B763" s="16"/>
      <c r="C763" s="16"/>
      <c r="D763" s="16"/>
    </row>
    <row r="764">
      <c r="B764" s="16"/>
      <c r="C764" s="16"/>
      <c r="D764" s="16"/>
    </row>
    <row r="765">
      <c r="B765" s="16"/>
      <c r="C765" s="16"/>
      <c r="D765" s="16"/>
    </row>
    <row r="766">
      <c r="B766" s="16"/>
      <c r="C766" s="16"/>
      <c r="D766" s="16"/>
    </row>
    <row r="767">
      <c r="B767" s="16"/>
      <c r="C767" s="16"/>
      <c r="D767" s="16"/>
    </row>
    <row r="768">
      <c r="B768" s="16"/>
      <c r="C768" s="16"/>
      <c r="D768" s="16"/>
    </row>
    <row r="769">
      <c r="B769" s="16"/>
      <c r="C769" s="16"/>
      <c r="D769" s="16"/>
    </row>
    <row r="770">
      <c r="B770" s="16"/>
      <c r="C770" s="16"/>
      <c r="D770" s="16"/>
    </row>
    <row r="771">
      <c r="B771" s="16"/>
      <c r="C771" s="16"/>
      <c r="D771" s="16"/>
    </row>
    <row r="772">
      <c r="B772" s="16"/>
      <c r="C772" s="16"/>
      <c r="D772" s="16"/>
    </row>
    <row r="773">
      <c r="B773" s="16"/>
      <c r="C773" s="16"/>
      <c r="D773" s="16"/>
    </row>
    <row r="774">
      <c r="B774" s="16"/>
      <c r="C774" s="16"/>
      <c r="D774" s="16"/>
    </row>
    <row r="775">
      <c r="B775" s="16"/>
      <c r="C775" s="16"/>
      <c r="D775" s="16"/>
    </row>
    <row r="776">
      <c r="B776" s="16"/>
      <c r="C776" s="16"/>
      <c r="D776" s="16"/>
    </row>
    <row r="777">
      <c r="B777" s="16"/>
      <c r="C777" s="16"/>
      <c r="D777" s="16"/>
    </row>
    <row r="778">
      <c r="B778" s="16"/>
      <c r="C778" s="16"/>
      <c r="D778" s="16"/>
    </row>
    <row r="779">
      <c r="B779" s="16"/>
      <c r="C779" s="16"/>
      <c r="D779" s="16"/>
    </row>
    <row r="780">
      <c r="B780" s="16"/>
      <c r="C780" s="16"/>
      <c r="D780" s="16"/>
    </row>
    <row r="781">
      <c r="B781" s="16"/>
      <c r="C781" s="16"/>
      <c r="D781" s="16"/>
    </row>
    <row r="782">
      <c r="B782" s="16"/>
      <c r="C782" s="16"/>
      <c r="D782" s="16"/>
    </row>
    <row r="783">
      <c r="B783" s="16"/>
      <c r="C783" s="16"/>
      <c r="D783" s="16"/>
    </row>
    <row r="784">
      <c r="B784" s="16"/>
      <c r="C784" s="16"/>
      <c r="D784" s="16"/>
    </row>
    <row r="785">
      <c r="B785" s="16"/>
      <c r="C785" s="16"/>
      <c r="D785" s="16"/>
    </row>
    <row r="786">
      <c r="B786" s="16"/>
      <c r="C786" s="16"/>
      <c r="D786" s="16"/>
    </row>
    <row r="787">
      <c r="B787" s="16"/>
      <c r="C787" s="16"/>
      <c r="D787" s="16"/>
    </row>
    <row r="788">
      <c r="B788" s="16"/>
      <c r="C788" s="16"/>
      <c r="D788" s="16"/>
    </row>
    <row r="789">
      <c r="B789" s="16"/>
      <c r="C789" s="16"/>
      <c r="D789" s="16"/>
    </row>
    <row r="790">
      <c r="B790" s="16"/>
      <c r="C790" s="16"/>
      <c r="D790" s="16"/>
    </row>
    <row r="791">
      <c r="B791" s="16"/>
      <c r="C791" s="16"/>
      <c r="D791" s="16"/>
    </row>
    <row r="792">
      <c r="B792" s="16"/>
      <c r="C792" s="16"/>
      <c r="D792" s="16"/>
    </row>
    <row r="793">
      <c r="B793" s="16"/>
      <c r="C793" s="16"/>
      <c r="D793" s="16"/>
    </row>
    <row r="794">
      <c r="B794" s="16"/>
      <c r="C794" s="16"/>
      <c r="D794" s="16"/>
    </row>
    <row r="795">
      <c r="B795" s="16"/>
      <c r="C795" s="16"/>
      <c r="D795" s="16"/>
    </row>
    <row r="796">
      <c r="B796" s="16"/>
      <c r="C796" s="16"/>
      <c r="D796" s="16"/>
    </row>
    <row r="797">
      <c r="B797" s="16"/>
      <c r="C797" s="16"/>
      <c r="D797" s="16"/>
    </row>
    <row r="798">
      <c r="B798" s="16"/>
      <c r="C798" s="16"/>
      <c r="D798" s="16"/>
    </row>
    <row r="799">
      <c r="B799" s="16"/>
      <c r="C799" s="16"/>
      <c r="D799" s="16"/>
    </row>
    <row r="800">
      <c r="B800" s="16"/>
      <c r="C800" s="16"/>
      <c r="D800" s="16"/>
    </row>
    <row r="801">
      <c r="B801" s="16"/>
      <c r="C801" s="16"/>
      <c r="D801" s="16"/>
    </row>
    <row r="802">
      <c r="B802" s="16"/>
      <c r="C802" s="16"/>
      <c r="D802" s="16"/>
    </row>
    <row r="803">
      <c r="B803" s="16"/>
      <c r="C803" s="16"/>
      <c r="D803" s="16"/>
    </row>
    <row r="804">
      <c r="B804" s="16"/>
      <c r="C804" s="16"/>
      <c r="D804" s="16"/>
    </row>
    <row r="805">
      <c r="B805" s="16"/>
      <c r="C805" s="16"/>
      <c r="D805" s="16"/>
    </row>
    <row r="806">
      <c r="B806" s="16"/>
      <c r="C806" s="16"/>
      <c r="D806" s="16"/>
    </row>
    <row r="807">
      <c r="B807" s="16"/>
      <c r="C807" s="16"/>
      <c r="D807" s="16"/>
    </row>
    <row r="808">
      <c r="B808" s="16"/>
      <c r="C808" s="16"/>
      <c r="D808" s="16"/>
    </row>
    <row r="809">
      <c r="B809" s="16"/>
      <c r="C809" s="16"/>
      <c r="D809" s="16"/>
    </row>
    <row r="810">
      <c r="B810" s="16"/>
      <c r="C810" s="16"/>
      <c r="D810" s="16"/>
    </row>
    <row r="811">
      <c r="B811" s="16"/>
      <c r="C811" s="16"/>
      <c r="D811" s="16"/>
    </row>
    <row r="812">
      <c r="B812" s="16"/>
      <c r="C812" s="16"/>
      <c r="D812" s="16"/>
    </row>
    <row r="813">
      <c r="B813" s="16"/>
      <c r="C813" s="16"/>
      <c r="D813" s="16"/>
    </row>
    <row r="814">
      <c r="B814" s="16"/>
      <c r="C814" s="16"/>
      <c r="D814" s="16"/>
    </row>
    <row r="815">
      <c r="B815" s="16"/>
      <c r="C815" s="16"/>
      <c r="D815" s="16"/>
    </row>
    <row r="816">
      <c r="B816" s="16"/>
      <c r="C816" s="16"/>
      <c r="D816" s="16"/>
    </row>
    <row r="817">
      <c r="B817" s="16"/>
      <c r="C817" s="16"/>
      <c r="D817" s="16"/>
    </row>
    <row r="818">
      <c r="B818" s="16"/>
      <c r="C818" s="16"/>
      <c r="D818" s="16"/>
    </row>
    <row r="819">
      <c r="B819" s="16"/>
      <c r="C819" s="16"/>
      <c r="D819" s="16"/>
    </row>
    <row r="820">
      <c r="B820" s="16"/>
      <c r="C820" s="16"/>
      <c r="D820" s="16"/>
    </row>
    <row r="821">
      <c r="B821" s="16"/>
      <c r="C821" s="16"/>
      <c r="D821" s="16"/>
    </row>
    <row r="822">
      <c r="B822" s="16"/>
      <c r="C822" s="16"/>
      <c r="D822" s="16"/>
    </row>
    <row r="823">
      <c r="B823" s="16"/>
      <c r="C823" s="16"/>
      <c r="D823" s="16"/>
    </row>
    <row r="824">
      <c r="B824" s="16"/>
      <c r="C824" s="16"/>
      <c r="D824" s="16"/>
    </row>
    <row r="825">
      <c r="B825" s="16"/>
      <c r="C825" s="16"/>
      <c r="D825" s="16"/>
    </row>
    <row r="826">
      <c r="B826" s="16"/>
      <c r="C826" s="16"/>
      <c r="D826" s="16"/>
    </row>
    <row r="827">
      <c r="B827" s="16"/>
      <c r="C827" s="16"/>
      <c r="D827" s="16"/>
    </row>
    <row r="828">
      <c r="B828" s="16"/>
      <c r="C828" s="16"/>
      <c r="D828" s="16"/>
    </row>
    <row r="829">
      <c r="B829" s="16"/>
      <c r="C829" s="16"/>
      <c r="D829" s="16"/>
    </row>
    <row r="830">
      <c r="B830" s="16"/>
      <c r="C830" s="16"/>
      <c r="D830" s="16"/>
    </row>
    <row r="831">
      <c r="B831" s="16"/>
      <c r="C831" s="16"/>
      <c r="D831" s="16"/>
    </row>
    <row r="832">
      <c r="B832" s="16"/>
      <c r="C832" s="16"/>
      <c r="D832" s="16"/>
    </row>
    <row r="833">
      <c r="B833" s="16"/>
      <c r="C833" s="16"/>
      <c r="D833" s="16"/>
    </row>
    <row r="834">
      <c r="B834" s="16"/>
      <c r="C834" s="16"/>
      <c r="D834" s="16"/>
    </row>
    <row r="835">
      <c r="B835" s="16"/>
      <c r="C835" s="16"/>
      <c r="D835" s="16"/>
    </row>
    <row r="836">
      <c r="B836" s="16"/>
      <c r="C836" s="16"/>
      <c r="D836" s="16"/>
    </row>
    <row r="837">
      <c r="B837" s="16"/>
      <c r="C837" s="16"/>
      <c r="D837" s="16"/>
    </row>
    <row r="838">
      <c r="B838" s="16"/>
      <c r="C838" s="16"/>
      <c r="D838" s="16"/>
    </row>
    <row r="839">
      <c r="B839" s="16"/>
      <c r="C839" s="16"/>
      <c r="D839" s="16"/>
    </row>
    <row r="840">
      <c r="B840" s="16"/>
      <c r="C840" s="16"/>
      <c r="D840" s="16"/>
    </row>
    <row r="841">
      <c r="B841" s="16"/>
      <c r="C841" s="16"/>
      <c r="D841" s="16"/>
    </row>
    <row r="842">
      <c r="B842" s="16"/>
      <c r="C842" s="16"/>
      <c r="D842" s="16"/>
    </row>
    <row r="843">
      <c r="B843" s="16"/>
      <c r="C843" s="16"/>
      <c r="D843" s="16"/>
    </row>
    <row r="844">
      <c r="B844" s="16"/>
      <c r="C844" s="16"/>
      <c r="D844" s="16"/>
    </row>
    <row r="845">
      <c r="B845" s="16"/>
      <c r="C845" s="16"/>
      <c r="D845" s="16"/>
    </row>
    <row r="846">
      <c r="B846" s="16"/>
      <c r="C846" s="16"/>
      <c r="D846" s="16"/>
    </row>
    <row r="847">
      <c r="B847" s="16"/>
      <c r="C847" s="16"/>
      <c r="D847" s="16"/>
    </row>
    <row r="848">
      <c r="B848" s="16"/>
      <c r="C848" s="16"/>
      <c r="D848" s="16"/>
    </row>
    <row r="849">
      <c r="B849" s="16"/>
      <c r="C849" s="16"/>
      <c r="D849" s="16"/>
    </row>
    <row r="850">
      <c r="B850" s="16"/>
      <c r="C850" s="16"/>
      <c r="D850" s="16"/>
    </row>
    <row r="851">
      <c r="B851" s="16"/>
      <c r="C851" s="16"/>
      <c r="D851" s="16"/>
    </row>
    <row r="852">
      <c r="B852" s="16"/>
      <c r="C852" s="16"/>
      <c r="D852" s="16"/>
    </row>
    <row r="853">
      <c r="B853" s="16"/>
      <c r="C853" s="16"/>
      <c r="D853" s="16"/>
    </row>
    <row r="854">
      <c r="B854" s="16"/>
      <c r="C854" s="16"/>
      <c r="D854" s="16"/>
    </row>
    <row r="855">
      <c r="B855" s="16"/>
      <c r="C855" s="16"/>
      <c r="D855" s="16"/>
    </row>
    <row r="856">
      <c r="B856" s="16"/>
      <c r="C856" s="16"/>
      <c r="D856" s="16"/>
    </row>
    <row r="857">
      <c r="B857" s="16"/>
      <c r="C857" s="16"/>
      <c r="D857" s="16"/>
    </row>
    <row r="858">
      <c r="B858" s="16"/>
      <c r="C858" s="16"/>
      <c r="D858" s="16"/>
    </row>
    <row r="859">
      <c r="B859" s="16"/>
      <c r="C859" s="16"/>
      <c r="D859" s="16"/>
    </row>
    <row r="860">
      <c r="B860" s="16"/>
      <c r="C860" s="16"/>
      <c r="D860" s="16"/>
    </row>
    <row r="861">
      <c r="B861" s="16"/>
      <c r="C861" s="16"/>
      <c r="D861" s="16"/>
    </row>
    <row r="862">
      <c r="B862" s="16"/>
      <c r="C862" s="16"/>
      <c r="D862" s="16"/>
    </row>
    <row r="863">
      <c r="B863" s="16"/>
      <c r="C863" s="16"/>
      <c r="D863" s="16"/>
    </row>
    <row r="864">
      <c r="B864" s="16"/>
      <c r="C864" s="16"/>
      <c r="D864" s="16"/>
    </row>
    <row r="865">
      <c r="B865" s="16"/>
      <c r="C865" s="16"/>
      <c r="D865" s="16"/>
    </row>
    <row r="866">
      <c r="B866" s="16"/>
      <c r="C866" s="16"/>
      <c r="D866" s="16"/>
    </row>
    <row r="867">
      <c r="B867" s="16"/>
      <c r="C867" s="16"/>
      <c r="D867" s="16"/>
    </row>
    <row r="868">
      <c r="B868" s="16"/>
      <c r="C868" s="16"/>
      <c r="D868" s="16"/>
    </row>
    <row r="869">
      <c r="B869" s="16"/>
      <c r="C869" s="16"/>
      <c r="D869" s="16"/>
    </row>
    <row r="870">
      <c r="B870" s="16"/>
      <c r="C870" s="16"/>
      <c r="D870" s="16"/>
    </row>
    <row r="871">
      <c r="B871" s="16"/>
      <c r="C871" s="16"/>
      <c r="D871" s="16"/>
    </row>
    <row r="872">
      <c r="B872" s="16"/>
      <c r="C872" s="16"/>
      <c r="D872" s="16"/>
    </row>
    <row r="873">
      <c r="B873" s="16"/>
      <c r="C873" s="16"/>
      <c r="D873" s="16"/>
    </row>
    <row r="874">
      <c r="B874" s="16"/>
      <c r="C874" s="16"/>
      <c r="D874" s="16"/>
    </row>
    <row r="875">
      <c r="B875" s="16"/>
      <c r="C875" s="16"/>
      <c r="D875" s="16"/>
    </row>
    <row r="876">
      <c r="B876" s="16"/>
      <c r="C876" s="16"/>
      <c r="D876" s="16"/>
    </row>
    <row r="877">
      <c r="B877" s="16"/>
      <c r="C877" s="16"/>
      <c r="D877" s="16"/>
    </row>
    <row r="878">
      <c r="B878" s="16"/>
      <c r="C878" s="16"/>
      <c r="D878" s="16"/>
    </row>
    <row r="879">
      <c r="B879" s="16"/>
      <c r="C879" s="16"/>
      <c r="D879" s="16"/>
    </row>
    <row r="880">
      <c r="B880" s="16"/>
      <c r="C880" s="16"/>
      <c r="D880" s="16"/>
    </row>
    <row r="881">
      <c r="B881" s="16"/>
      <c r="C881" s="16"/>
      <c r="D881" s="16"/>
    </row>
    <row r="882">
      <c r="B882" s="16"/>
      <c r="C882" s="16"/>
      <c r="D882" s="16"/>
    </row>
    <row r="883">
      <c r="B883" s="16"/>
      <c r="C883" s="16"/>
      <c r="D883" s="16"/>
    </row>
    <row r="884">
      <c r="B884" s="16"/>
      <c r="C884" s="16"/>
      <c r="D884" s="16"/>
    </row>
    <row r="885">
      <c r="B885" s="16"/>
      <c r="C885" s="16"/>
      <c r="D885" s="16"/>
    </row>
    <row r="886">
      <c r="B886" s="16"/>
      <c r="C886" s="16"/>
      <c r="D886" s="16"/>
    </row>
    <row r="887">
      <c r="B887" s="16"/>
      <c r="C887" s="16"/>
      <c r="D887" s="16"/>
    </row>
    <row r="888">
      <c r="B888" s="16"/>
      <c r="C888" s="16"/>
      <c r="D888" s="16"/>
    </row>
    <row r="889">
      <c r="B889" s="16"/>
      <c r="C889" s="16"/>
      <c r="D889" s="16"/>
    </row>
    <row r="890">
      <c r="B890" s="16"/>
      <c r="C890" s="16"/>
      <c r="D890" s="16"/>
    </row>
    <row r="891">
      <c r="B891" s="16"/>
      <c r="C891" s="16"/>
      <c r="D891" s="16"/>
    </row>
    <row r="892">
      <c r="B892" s="16"/>
      <c r="C892" s="16"/>
      <c r="D892" s="16"/>
    </row>
    <row r="893">
      <c r="B893" s="16"/>
      <c r="C893" s="16"/>
      <c r="D893" s="16"/>
    </row>
    <row r="894">
      <c r="B894" s="16"/>
      <c r="C894" s="16"/>
      <c r="D894" s="16"/>
    </row>
    <row r="895">
      <c r="B895" s="16"/>
      <c r="C895" s="16"/>
      <c r="D895" s="16"/>
    </row>
    <row r="896">
      <c r="B896" s="16"/>
      <c r="C896" s="16"/>
      <c r="D896" s="16"/>
    </row>
    <row r="897">
      <c r="B897" s="16"/>
      <c r="C897" s="16"/>
      <c r="D897" s="16"/>
    </row>
    <row r="898">
      <c r="B898" s="16"/>
      <c r="C898" s="16"/>
      <c r="D898" s="16"/>
    </row>
    <row r="899">
      <c r="B899" s="16"/>
      <c r="C899" s="16"/>
      <c r="D899" s="16"/>
    </row>
    <row r="900">
      <c r="B900" s="16"/>
      <c r="C900" s="16"/>
      <c r="D900" s="16"/>
    </row>
    <row r="901">
      <c r="B901" s="16"/>
      <c r="C901" s="16"/>
      <c r="D901" s="16"/>
    </row>
    <row r="902">
      <c r="B902" s="16"/>
      <c r="C902" s="16"/>
      <c r="D902" s="16"/>
    </row>
    <row r="903">
      <c r="B903" s="16"/>
      <c r="C903" s="16"/>
      <c r="D903" s="16"/>
    </row>
    <row r="904">
      <c r="B904" s="16"/>
      <c r="C904" s="16"/>
      <c r="D904" s="16"/>
    </row>
    <row r="905">
      <c r="B905" s="16"/>
      <c r="C905" s="16"/>
      <c r="D905" s="16"/>
    </row>
    <row r="906">
      <c r="B906" s="16"/>
      <c r="C906" s="16"/>
      <c r="D906" s="16"/>
    </row>
    <row r="907">
      <c r="B907" s="16"/>
      <c r="C907" s="16"/>
      <c r="D907" s="16"/>
    </row>
    <row r="908">
      <c r="B908" s="16"/>
      <c r="C908" s="16"/>
      <c r="D908" s="16"/>
    </row>
    <row r="909">
      <c r="B909" s="16"/>
      <c r="C909" s="16"/>
      <c r="D909" s="16"/>
    </row>
    <row r="910">
      <c r="B910" s="16"/>
      <c r="C910" s="16"/>
      <c r="D910" s="16"/>
    </row>
    <row r="911">
      <c r="B911" s="16"/>
      <c r="C911" s="16"/>
      <c r="D911" s="16"/>
    </row>
    <row r="912">
      <c r="B912" s="16"/>
      <c r="C912" s="16"/>
      <c r="D912" s="16"/>
    </row>
    <row r="913">
      <c r="B913" s="16"/>
      <c r="C913" s="16"/>
      <c r="D913" s="16"/>
    </row>
    <row r="914">
      <c r="B914" s="16"/>
      <c r="C914" s="16"/>
      <c r="D914" s="16"/>
    </row>
    <row r="915">
      <c r="B915" s="16"/>
      <c r="C915" s="16"/>
      <c r="D915" s="16"/>
    </row>
    <row r="916">
      <c r="B916" s="16"/>
      <c r="C916" s="16"/>
      <c r="D916" s="16"/>
    </row>
    <row r="917">
      <c r="B917" s="16"/>
      <c r="C917" s="16"/>
      <c r="D917" s="16"/>
    </row>
    <row r="918">
      <c r="B918" s="16"/>
      <c r="C918" s="16"/>
      <c r="D918" s="16"/>
    </row>
    <row r="919">
      <c r="B919" s="16"/>
      <c r="C919" s="16"/>
      <c r="D919" s="16"/>
    </row>
    <row r="920">
      <c r="B920" s="16"/>
      <c r="C920" s="16"/>
      <c r="D920" s="16"/>
    </row>
    <row r="921">
      <c r="B921" s="16"/>
      <c r="C921" s="16"/>
      <c r="D921" s="16"/>
    </row>
    <row r="922">
      <c r="B922" s="16"/>
      <c r="C922" s="16"/>
      <c r="D922" s="16"/>
    </row>
    <row r="923">
      <c r="B923" s="16"/>
      <c r="C923" s="16"/>
      <c r="D923" s="16"/>
    </row>
    <row r="924">
      <c r="B924" s="16"/>
      <c r="C924" s="16"/>
      <c r="D924" s="16"/>
    </row>
    <row r="925">
      <c r="B925" s="16"/>
      <c r="C925" s="16"/>
      <c r="D925" s="16"/>
    </row>
    <row r="926">
      <c r="B926" s="16"/>
      <c r="C926" s="16"/>
      <c r="D926" s="16"/>
    </row>
    <row r="927">
      <c r="B927" s="16"/>
      <c r="C927" s="16"/>
      <c r="D927" s="16"/>
    </row>
    <row r="928">
      <c r="B928" s="16"/>
      <c r="C928" s="16"/>
      <c r="D928" s="16"/>
    </row>
    <row r="929">
      <c r="B929" s="16"/>
      <c r="C929" s="16"/>
      <c r="D929" s="16"/>
    </row>
    <row r="930">
      <c r="B930" s="16"/>
      <c r="C930" s="16"/>
      <c r="D930" s="16"/>
    </row>
    <row r="931">
      <c r="B931" s="16"/>
      <c r="C931" s="16"/>
      <c r="D931" s="16"/>
    </row>
    <row r="932">
      <c r="B932" s="16"/>
      <c r="C932" s="16"/>
      <c r="D932" s="16"/>
    </row>
    <row r="933">
      <c r="B933" s="16"/>
      <c r="C933" s="16"/>
      <c r="D933" s="16"/>
    </row>
    <row r="934">
      <c r="B934" s="16"/>
      <c r="C934" s="16"/>
      <c r="D934" s="16"/>
    </row>
    <row r="935">
      <c r="B935" s="16"/>
      <c r="C935" s="16"/>
      <c r="D935" s="16"/>
    </row>
    <row r="936">
      <c r="B936" s="16"/>
      <c r="C936" s="16"/>
      <c r="D936" s="16"/>
    </row>
    <row r="937">
      <c r="B937" s="16"/>
      <c r="C937" s="16"/>
      <c r="D937" s="16"/>
    </row>
    <row r="938">
      <c r="B938" s="16"/>
      <c r="C938" s="16"/>
      <c r="D938" s="16"/>
    </row>
    <row r="939">
      <c r="B939" s="16"/>
      <c r="C939" s="16"/>
      <c r="D939" s="16"/>
    </row>
    <row r="940">
      <c r="B940" s="16"/>
      <c r="C940" s="16"/>
      <c r="D940" s="16"/>
    </row>
    <row r="941">
      <c r="B941" s="16"/>
      <c r="C941" s="16"/>
      <c r="D941" s="16"/>
    </row>
    <row r="942">
      <c r="B942" s="16"/>
      <c r="C942" s="16"/>
      <c r="D942" s="16"/>
    </row>
    <row r="943">
      <c r="B943" s="16"/>
      <c r="C943" s="16"/>
      <c r="D943" s="16"/>
    </row>
    <row r="944">
      <c r="B944" s="16"/>
      <c r="C944" s="16"/>
      <c r="D944" s="16"/>
    </row>
    <row r="945">
      <c r="B945" s="16"/>
      <c r="C945" s="16"/>
      <c r="D945" s="16"/>
    </row>
    <row r="946">
      <c r="B946" s="16"/>
      <c r="C946" s="16"/>
      <c r="D946" s="16"/>
    </row>
    <row r="947">
      <c r="B947" s="16"/>
      <c r="C947" s="16"/>
      <c r="D947" s="16"/>
    </row>
    <row r="948">
      <c r="B948" s="16"/>
      <c r="C948" s="16"/>
      <c r="D948" s="16"/>
    </row>
    <row r="949">
      <c r="B949" s="16"/>
      <c r="C949" s="16"/>
      <c r="D949" s="16"/>
    </row>
    <row r="950">
      <c r="B950" s="16"/>
      <c r="C950" s="16"/>
      <c r="D950" s="16"/>
    </row>
    <row r="951">
      <c r="B951" s="16"/>
      <c r="C951" s="16"/>
      <c r="D951" s="16"/>
    </row>
    <row r="952">
      <c r="B952" s="16"/>
      <c r="C952" s="16"/>
      <c r="D952" s="16"/>
    </row>
    <row r="953">
      <c r="B953" s="16"/>
      <c r="C953" s="16"/>
      <c r="D953" s="16"/>
    </row>
    <row r="954">
      <c r="B954" s="16"/>
      <c r="C954" s="16"/>
      <c r="D954" s="16"/>
    </row>
    <row r="955">
      <c r="B955" s="16"/>
      <c r="C955" s="16"/>
      <c r="D955" s="16"/>
    </row>
    <row r="956">
      <c r="B956" s="16"/>
      <c r="C956" s="16"/>
      <c r="D956" s="16"/>
    </row>
    <row r="957">
      <c r="B957" s="16"/>
      <c r="C957" s="16"/>
      <c r="D957" s="16"/>
    </row>
    <row r="958">
      <c r="B958" s="16"/>
      <c r="C958" s="16"/>
      <c r="D958" s="16"/>
    </row>
    <row r="959">
      <c r="B959" s="16"/>
      <c r="C959" s="16"/>
      <c r="D959" s="16"/>
    </row>
    <row r="960">
      <c r="B960" s="16"/>
      <c r="C960" s="16"/>
      <c r="D960" s="16"/>
    </row>
    <row r="961">
      <c r="B961" s="16"/>
      <c r="C961" s="16"/>
      <c r="D961" s="16"/>
    </row>
    <row r="962">
      <c r="B962" s="16"/>
      <c r="C962" s="16"/>
      <c r="D962" s="16"/>
    </row>
    <row r="963">
      <c r="B963" s="16"/>
      <c r="C963" s="16"/>
      <c r="D963" s="16"/>
    </row>
    <row r="964">
      <c r="B964" s="16"/>
      <c r="C964" s="16"/>
      <c r="D964" s="16"/>
    </row>
    <row r="965">
      <c r="B965" s="16"/>
      <c r="C965" s="16"/>
      <c r="D965" s="16"/>
    </row>
    <row r="966">
      <c r="B966" s="16"/>
      <c r="C966" s="16"/>
      <c r="D966" s="16"/>
    </row>
    <row r="967">
      <c r="B967" s="16"/>
      <c r="C967" s="16"/>
      <c r="D967" s="16"/>
    </row>
    <row r="968">
      <c r="B968" s="16"/>
      <c r="C968" s="16"/>
      <c r="D968" s="16"/>
    </row>
    <row r="969">
      <c r="B969" s="16"/>
      <c r="C969" s="16"/>
      <c r="D969" s="16"/>
    </row>
    <row r="970">
      <c r="B970" s="16"/>
      <c r="C970" s="16"/>
      <c r="D970" s="16"/>
    </row>
    <row r="971">
      <c r="B971" s="16"/>
      <c r="C971" s="16"/>
      <c r="D971" s="16"/>
    </row>
    <row r="972">
      <c r="B972" s="16"/>
      <c r="C972" s="16"/>
      <c r="D972" s="16"/>
    </row>
    <row r="973">
      <c r="B973" s="16"/>
      <c r="C973" s="16"/>
      <c r="D973" s="16"/>
    </row>
    <row r="974">
      <c r="B974" s="16"/>
      <c r="C974" s="16"/>
      <c r="D974" s="16"/>
    </row>
    <row r="975">
      <c r="B975" s="16"/>
      <c r="C975" s="16"/>
      <c r="D975" s="16"/>
    </row>
    <row r="976">
      <c r="B976" s="16"/>
      <c r="C976" s="16"/>
      <c r="D976" s="16"/>
    </row>
    <row r="977">
      <c r="B977" s="16"/>
      <c r="C977" s="16"/>
      <c r="D977" s="16"/>
    </row>
    <row r="978">
      <c r="B978" s="16"/>
      <c r="C978" s="16"/>
      <c r="D978" s="16"/>
    </row>
    <row r="979">
      <c r="B979" s="16"/>
      <c r="C979" s="16"/>
      <c r="D979" s="16"/>
    </row>
    <row r="980">
      <c r="B980" s="16"/>
      <c r="C980" s="16"/>
      <c r="D980" s="16"/>
    </row>
    <row r="981">
      <c r="B981" s="16"/>
      <c r="C981" s="16"/>
      <c r="D981" s="16"/>
    </row>
    <row r="982">
      <c r="B982" s="16"/>
      <c r="C982" s="16"/>
      <c r="D982" s="16"/>
    </row>
    <row r="983">
      <c r="B983" s="16"/>
      <c r="C983" s="16"/>
      <c r="D983" s="16"/>
    </row>
    <row r="984">
      <c r="B984" s="16"/>
      <c r="C984" s="16"/>
      <c r="D984" s="16"/>
    </row>
    <row r="985">
      <c r="B985" s="16"/>
      <c r="C985" s="16"/>
      <c r="D985" s="16"/>
    </row>
    <row r="986">
      <c r="B986" s="16"/>
      <c r="C986" s="16"/>
      <c r="D986" s="16"/>
    </row>
    <row r="987">
      <c r="B987" s="16"/>
      <c r="C987" s="16"/>
      <c r="D987" s="16"/>
    </row>
    <row r="988">
      <c r="B988" s="16"/>
      <c r="C988" s="16"/>
      <c r="D988" s="16"/>
    </row>
    <row r="989">
      <c r="B989" s="16"/>
      <c r="C989" s="16"/>
      <c r="D989" s="16"/>
    </row>
    <row r="990">
      <c r="B990" s="16"/>
      <c r="C990" s="16"/>
      <c r="D990" s="16"/>
    </row>
    <row r="991">
      <c r="B991" s="16"/>
      <c r="C991" s="16"/>
      <c r="D991" s="16"/>
    </row>
    <row r="992">
      <c r="B992" s="16"/>
      <c r="C992" s="16"/>
      <c r="D992" s="16"/>
    </row>
    <row r="993">
      <c r="B993" s="16"/>
      <c r="C993" s="16"/>
      <c r="D993" s="16"/>
    </row>
    <row r="994">
      <c r="B994" s="16"/>
      <c r="C994" s="16"/>
      <c r="D994" s="16"/>
    </row>
    <row r="995">
      <c r="B995" s="16"/>
      <c r="C995" s="16"/>
      <c r="D995" s="16"/>
    </row>
    <row r="996">
      <c r="B996" s="16"/>
      <c r="C996" s="16"/>
      <c r="D996" s="16"/>
    </row>
    <row r="997">
      <c r="B997" s="16"/>
      <c r="C997" s="16"/>
      <c r="D997" s="16"/>
    </row>
    <row r="998">
      <c r="B998" s="16"/>
      <c r="C998" s="16"/>
      <c r="D998" s="16"/>
    </row>
    <row r="999">
      <c r="B999" s="16"/>
      <c r="C999" s="16"/>
      <c r="D999" s="16"/>
    </row>
    <row r="1000">
      <c r="B1000" s="16"/>
      <c r="C1000" s="16"/>
      <c r="D1000" s="16"/>
    </row>
  </sheetData>
  <dataValidations>
    <dataValidation type="custom" allowBlank="1" showDropDown="1" sqref="B2:C35">
      <formula1>AND(ISNUMBER(B2),(NOT(OR(NOT(ISERROR(DATEVALUE(B2))), AND(ISNUMBER(B2), LEFT(CELL("format", B2))="D")))))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</hyperlinks>
  <drawing r:id="rId35"/>
  <tableParts count="1">
    <tablePart r:id="rId3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25"/>
    <col customWidth="1" min="3" max="3" width="15.5"/>
    <col customWidth="1" min="4" max="4" width="37.63"/>
  </cols>
  <sheetData>
    <row r="1" ht="22.5" customHeight="1">
      <c r="A1" s="28" t="s">
        <v>19</v>
      </c>
      <c r="B1" s="28" t="s">
        <v>43</v>
      </c>
      <c r="C1" s="28" t="s">
        <v>46</v>
      </c>
      <c r="D1" s="28" t="s">
        <v>48</v>
      </c>
      <c r="F1" s="35"/>
      <c r="G1" s="35"/>
      <c r="H1" s="35"/>
    </row>
    <row r="2" ht="22.5" customHeight="1">
      <c r="A2" s="31">
        <v>1.0</v>
      </c>
      <c r="B2" s="36" t="s">
        <v>195</v>
      </c>
      <c r="C2" s="36" t="s">
        <v>198</v>
      </c>
      <c r="D2" s="36" t="s">
        <v>200</v>
      </c>
    </row>
    <row r="3" ht="22.5" customHeight="1">
      <c r="A3" s="31">
        <v>2.0</v>
      </c>
      <c r="B3" s="36" t="s">
        <v>195</v>
      </c>
      <c r="C3" s="36" t="s">
        <v>198</v>
      </c>
      <c r="D3" s="36" t="s">
        <v>201</v>
      </c>
    </row>
    <row r="4" ht="22.5" customHeight="1">
      <c r="A4" s="31">
        <v>3.0</v>
      </c>
      <c r="B4" s="36" t="s">
        <v>202</v>
      </c>
      <c r="C4" s="36" t="s">
        <v>198</v>
      </c>
      <c r="D4" s="36" t="s">
        <v>203</v>
      </c>
    </row>
    <row r="5" ht="22.5" customHeight="1">
      <c r="A5" s="31">
        <v>4.0</v>
      </c>
      <c r="B5" s="36" t="s">
        <v>195</v>
      </c>
      <c r="C5" s="36" t="s">
        <v>198</v>
      </c>
      <c r="D5" s="36" t="s">
        <v>205</v>
      </c>
    </row>
    <row r="6" ht="22.5" customHeight="1">
      <c r="A6" s="31">
        <v>5.0</v>
      </c>
      <c r="B6" s="36" t="s">
        <v>207</v>
      </c>
      <c r="C6" s="36" t="s">
        <v>198</v>
      </c>
      <c r="D6" s="36" t="s">
        <v>209</v>
      </c>
    </row>
    <row r="7" ht="22.5" customHeight="1">
      <c r="A7" s="31">
        <v>6.0</v>
      </c>
      <c r="B7" s="36" t="s">
        <v>195</v>
      </c>
      <c r="C7" s="36" t="s">
        <v>198</v>
      </c>
      <c r="D7" s="36" t="s">
        <v>212</v>
      </c>
    </row>
    <row r="8" ht="22.5" customHeight="1">
      <c r="A8" s="31">
        <v>7.0</v>
      </c>
      <c r="B8" s="36" t="s">
        <v>195</v>
      </c>
      <c r="C8" s="36" t="s">
        <v>198</v>
      </c>
      <c r="D8" s="36" t="s">
        <v>212</v>
      </c>
    </row>
    <row r="9" ht="22.5" customHeight="1">
      <c r="A9" s="31">
        <v>8.0</v>
      </c>
      <c r="B9" s="36" t="s">
        <v>202</v>
      </c>
      <c r="C9" s="36" t="s">
        <v>198</v>
      </c>
      <c r="D9" s="36" t="s">
        <v>212</v>
      </c>
    </row>
    <row r="10" ht="22.5" customHeight="1">
      <c r="A10" s="31">
        <v>9.0</v>
      </c>
      <c r="B10" s="36" t="s">
        <v>202</v>
      </c>
      <c r="C10" s="36" t="s">
        <v>198</v>
      </c>
      <c r="D10" s="36" t="s">
        <v>212</v>
      </c>
    </row>
    <row r="11" ht="22.5" customHeight="1">
      <c r="A11" s="31">
        <v>10.0</v>
      </c>
      <c r="B11" s="36" t="s">
        <v>195</v>
      </c>
      <c r="C11" s="36" t="s">
        <v>198</v>
      </c>
      <c r="D11" s="36" t="s">
        <v>203</v>
      </c>
    </row>
    <row r="12" ht="22.5" customHeight="1">
      <c r="A12" s="31">
        <v>11.0</v>
      </c>
      <c r="B12" s="36" t="s">
        <v>195</v>
      </c>
      <c r="C12" s="36" t="s">
        <v>198</v>
      </c>
      <c r="D12" s="36" t="s">
        <v>217</v>
      </c>
    </row>
    <row r="13" ht="22.5" customHeight="1">
      <c r="A13" s="31">
        <v>12.0</v>
      </c>
      <c r="B13" s="36" t="s">
        <v>195</v>
      </c>
      <c r="C13" s="36" t="s">
        <v>198</v>
      </c>
      <c r="D13" s="36" t="s">
        <v>219</v>
      </c>
    </row>
    <row r="14" ht="22.5" customHeight="1">
      <c r="A14" s="31">
        <v>13.0</v>
      </c>
      <c r="B14" s="36" t="s">
        <v>195</v>
      </c>
      <c r="C14" s="36" t="s">
        <v>198</v>
      </c>
      <c r="D14" s="36" t="s">
        <v>220</v>
      </c>
    </row>
    <row r="15" ht="22.5" customHeight="1">
      <c r="A15" s="31">
        <v>14.0</v>
      </c>
      <c r="B15" s="36" t="s">
        <v>195</v>
      </c>
      <c r="C15" s="36" t="s">
        <v>198</v>
      </c>
      <c r="D15" s="36" t="s">
        <v>220</v>
      </c>
    </row>
    <row r="16" ht="22.5" customHeight="1">
      <c r="A16" s="31">
        <v>15.0</v>
      </c>
      <c r="B16" s="36" t="s">
        <v>195</v>
      </c>
      <c r="C16" s="36" t="s">
        <v>198</v>
      </c>
      <c r="D16" s="36" t="s">
        <v>220</v>
      </c>
    </row>
    <row r="17" ht="22.5" customHeight="1">
      <c r="A17" s="31">
        <v>16.0</v>
      </c>
      <c r="B17" s="36" t="s">
        <v>195</v>
      </c>
      <c r="C17" s="36" t="s">
        <v>198</v>
      </c>
      <c r="D17" s="36" t="s">
        <v>220</v>
      </c>
    </row>
    <row r="18" ht="22.5" customHeight="1">
      <c r="A18" s="31">
        <v>17.0</v>
      </c>
      <c r="B18" s="36" t="s">
        <v>195</v>
      </c>
      <c r="C18" s="36" t="s">
        <v>198</v>
      </c>
      <c r="D18" s="36" t="s">
        <v>203</v>
      </c>
    </row>
    <row r="19" ht="22.5" customHeight="1">
      <c r="A19" s="31">
        <v>18.0</v>
      </c>
      <c r="B19" s="36" t="s">
        <v>195</v>
      </c>
      <c r="C19" s="36" t="s">
        <v>198</v>
      </c>
      <c r="D19" s="36" t="s">
        <v>203</v>
      </c>
    </row>
    <row r="20" ht="22.5" customHeight="1">
      <c r="A20" s="31">
        <v>19.0</v>
      </c>
      <c r="B20" s="36" t="s">
        <v>202</v>
      </c>
      <c r="C20" s="36" t="s">
        <v>198</v>
      </c>
      <c r="D20" s="36" t="s">
        <v>226</v>
      </c>
    </row>
    <row r="21" ht="22.5" customHeight="1">
      <c r="A21" s="31">
        <v>20.0</v>
      </c>
      <c r="B21" s="36" t="s">
        <v>195</v>
      </c>
      <c r="C21" s="36" t="s">
        <v>198</v>
      </c>
      <c r="D21" s="36" t="s">
        <v>203</v>
      </c>
    </row>
    <row r="22" ht="22.5" customHeight="1">
      <c r="A22" s="31">
        <v>21.0</v>
      </c>
      <c r="B22" s="36" t="s">
        <v>195</v>
      </c>
      <c r="C22" s="36" t="s">
        <v>198</v>
      </c>
      <c r="D22" s="36" t="s">
        <v>203</v>
      </c>
    </row>
    <row r="23" ht="22.5" customHeight="1">
      <c r="A23" s="31">
        <v>22.0</v>
      </c>
      <c r="B23" s="36" t="s">
        <v>195</v>
      </c>
      <c r="C23" s="36" t="s">
        <v>198</v>
      </c>
      <c r="D23" s="36" t="s">
        <v>203</v>
      </c>
    </row>
    <row r="24" ht="22.5" customHeight="1">
      <c r="A24" s="31">
        <v>23.0</v>
      </c>
      <c r="B24" s="36" t="s">
        <v>202</v>
      </c>
      <c r="C24" s="36" t="s">
        <v>198</v>
      </c>
      <c r="D24" s="36" t="s">
        <v>203</v>
      </c>
    </row>
    <row r="25" ht="22.5" customHeight="1">
      <c r="A25" s="31">
        <v>24.0</v>
      </c>
      <c r="B25" s="36" t="s">
        <v>202</v>
      </c>
      <c r="C25" s="36" t="s">
        <v>198</v>
      </c>
      <c r="D25" s="36" t="s">
        <v>203</v>
      </c>
    </row>
    <row r="26" ht="22.5" customHeight="1">
      <c r="A26" s="31">
        <v>25.0</v>
      </c>
      <c r="B26" s="36" t="s">
        <v>202</v>
      </c>
      <c r="C26" s="36" t="s">
        <v>198</v>
      </c>
      <c r="D26" s="36" t="s">
        <v>201</v>
      </c>
    </row>
    <row r="27" ht="22.5" customHeight="1">
      <c r="A27" s="31">
        <v>26.0</v>
      </c>
      <c r="B27" s="36" t="s">
        <v>202</v>
      </c>
      <c r="C27" s="36" t="s">
        <v>198</v>
      </c>
      <c r="D27" s="36" t="s">
        <v>201</v>
      </c>
    </row>
    <row r="28" ht="22.5" customHeight="1">
      <c r="A28" s="31">
        <v>27.0</v>
      </c>
      <c r="B28" s="36" t="s">
        <v>195</v>
      </c>
      <c r="C28" s="36" t="s">
        <v>198</v>
      </c>
      <c r="D28" s="36" t="s">
        <v>203</v>
      </c>
    </row>
    <row r="29" ht="22.5" customHeight="1">
      <c r="A29" s="31">
        <v>28.0</v>
      </c>
      <c r="B29" s="36" t="s">
        <v>195</v>
      </c>
      <c r="C29" s="36" t="s">
        <v>198</v>
      </c>
      <c r="D29" s="36" t="s">
        <v>203</v>
      </c>
    </row>
    <row r="30" ht="22.5" customHeight="1">
      <c r="A30" s="31">
        <v>29.0</v>
      </c>
      <c r="B30" s="36" t="s">
        <v>202</v>
      </c>
      <c r="C30" s="36" t="s">
        <v>198</v>
      </c>
      <c r="D30" s="36" t="s">
        <v>203</v>
      </c>
    </row>
    <row r="31" ht="22.5" customHeight="1">
      <c r="A31" s="31">
        <v>30.0</v>
      </c>
      <c r="B31" s="36" t="s">
        <v>195</v>
      </c>
      <c r="C31" s="36" t="s">
        <v>241</v>
      </c>
      <c r="D31" s="36" t="s">
        <v>242</v>
      </c>
    </row>
    <row r="32" ht="22.5" customHeight="1">
      <c r="A32" s="31">
        <v>31.0</v>
      </c>
      <c r="B32" s="36" t="s">
        <v>202</v>
      </c>
      <c r="C32" s="36" t="s">
        <v>244</v>
      </c>
      <c r="D32" s="36" t="s">
        <v>203</v>
      </c>
    </row>
    <row r="33" ht="22.5" customHeight="1">
      <c r="A33" s="31">
        <v>32.0</v>
      </c>
      <c r="B33" s="36" t="s">
        <v>195</v>
      </c>
      <c r="C33" s="36" t="s">
        <v>244</v>
      </c>
      <c r="D33" s="36" t="s">
        <v>203</v>
      </c>
    </row>
    <row r="34" ht="22.5" customHeight="1">
      <c r="A34" s="31">
        <v>33.0</v>
      </c>
      <c r="B34" s="36" t="s">
        <v>195</v>
      </c>
      <c r="C34" s="36" t="s">
        <v>244</v>
      </c>
      <c r="D34" s="36" t="s">
        <v>203</v>
      </c>
    </row>
    <row r="35" ht="22.5" customHeight="1">
      <c r="A35" s="31">
        <v>34.0</v>
      </c>
      <c r="B35" s="36" t="s">
        <v>202</v>
      </c>
      <c r="C35" s="36" t="s">
        <v>241</v>
      </c>
      <c r="D35" s="36" t="s">
        <v>212</v>
      </c>
    </row>
    <row r="36">
      <c r="B36" s="16"/>
      <c r="C36" s="16"/>
      <c r="D36" s="16"/>
    </row>
    <row r="37">
      <c r="B37" s="16"/>
      <c r="C37" s="16"/>
      <c r="D37" s="16"/>
    </row>
    <row r="38">
      <c r="B38" s="16"/>
      <c r="C38" s="16"/>
      <c r="D38" s="16"/>
    </row>
    <row r="39">
      <c r="B39" s="16"/>
      <c r="C39" s="16"/>
      <c r="D39" s="16"/>
    </row>
    <row r="40">
      <c r="B40" s="16"/>
      <c r="C40" s="16"/>
      <c r="D40" s="16"/>
    </row>
    <row r="41">
      <c r="B41" s="16"/>
      <c r="C41" s="16"/>
      <c r="D41" s="16"/>
    </row>
    <row r="42">
      <c r="B42" s="16"/>
      <c r="C42" s="16"/>
      <c r="D42" s="16"/>
    </row>
    <row r="43">
      <c r="B43" s="16"/>
      <c r="C43" s="16"/>
      <c r="D43" s="16"/>
    </row>
    <row r="44">
      <c r="B44" s="16"/>
      <c r="C44" s="16"/>
      <c r="D44" s="16"/>
    </row>
    <row r="45">
      <c r="B45" s="16"/>
      <c r="C45" s="16"/>
      <c r="D45" s="16"/>
    </row>
    <row r="46">
      <c r="B46" s="16"/>
      <c r="C46" s="16"/>
      <c r="D46" s="16"/>
    </row>
    <row r="47">
      <c r="B47" s="16"/>
      <c r="C47" s="16"/>
      <c r="D47" s="16"/>
    </row>
    <row r="48">
      <c r="B48" s="16"/>
      <c r="C48" s="16"/>
      <c r="D48" s="16"/>
    </row>
    <row r="49">
      <c r="B49" s="16"/>
      <c r="C49" s="16"/>
      <c r="D49" s="16"/>
    </row>
    <row r="50">
      <c r="B50" s="16"/>
      <c r="C50" s="16"/>
      <c r="D50" s="16"/>
    </row>
    <row r="51">
      <c r="B51" s="16"/>
      <c r="C51" s="16"/>
      <c r="D51" s="16"/>
    </row>
    <row r="52">
      <c r="B52" s="16"/>
      <c r="C52" s="16"/>
      <c r="D52" s="16"/>
    </row>
    <row r="53">
      <c r="B53" s="16"/>
      <c r="C53" s="16"/>
      <c r="D53" s="16"/>
    </row>
    <row r="54">
      <c r="B54" s="16"/>
      <c r="C54" s="16"/>
      <c r="D54" s="16"/>
    </row>
    <row r="55">
      <c r="B55" s="16"/>
      <c r="C55" s="16"/>
      <c r="D55" s="16"/>
    </row>
    <row r="56">
      <c r="B56" s="16"/>
      <c r="C56" s="16"/>
      <c r="D56" s="16"/>
    </row>
    <row r="57">
      <c r="B57" s="16"/>
      <c r="C57" s="16"/>
      <c r="D57" s="16"/>
    </row>
    <row r="58">
      <c r="B58" s="16"/>
      <c r="C58" s="16"/>
      <c r="D58" s="16"/>
    </row>
    <row r="59">
      <c r="B59" s="16"/>
      <c r="C59" s="16"/>
      <c r="D59" s="16"/>
    </row>
    <row r="60">
      <c r="B60" s="16"/>
      <c r="C60" s="16"/>
      <c r="D60" s="16"/>
    </row>
    <row r="61">
      <c r="B61" s="16"/>
      <c r="C61" s="16"/>
      <c r="D61" s="16"/>
    </row>
    <row r="62">
      <c r="B62" s="16"/>
      <c r="C62" s="16"/>
      <c r="D62" s="16"/>
    </row>
    <row r="63">
      <c r="B63" s="16"/>
      <c r="C63" s="16"/>
      <c r="D63" s="16"/>
    </row>
    <row r="64">
      <c r="B64" s="16"/>
      <c r="C64" s="16"/>
      <c r="D64" s="16"/>
    </row>
    <row r="65">
      <c r="B65" s="16"/>
      <c r="C65" s="16"/>
      <c r="D65" s="16"/>
    </row>
    <row r="66">
      <c r="B66" s="16"/>
      <c r="C66" s="16"/>
      <c r="D66" s="16"/>
    </row>
    <row r="67">
      <c r="B67" s="16"/>
      <c r="C67" s="16"/>
      <c r="D67" s="16"/>
    </row>
    <row r="68">
      <c r="B68" s="16"/>
      <c r="C68" s="16"/>
      <c r="D68" s="16"/>
    </row>
    <row r="69">
      <c r="B69" s="16"/>
      <c r="C69" s="16"/>
      <c r="D69" s="16"/>
    </row>
    <row r="70">
      <c r="B70" s="16"/>
      <c r="C70" s="16"/>
      <c r="D70" s="16"/>
    </row>
    <row r="71">
      <c r="B71" s="16"/>
      <c r="C71" s="16"/>
      <c r="D71" s="16"/>
    </row>
    <row r="72">
      <c r="B72" s="16"/>
      <c r="C72" s="16"/>
      <c r="D72" s="16"/>
    </row>
    <row r="73">
      <c r="B73" s="16"/>
      <c r="C73" s="16"/>
      <c r="D73" s="16"/>
    </row>
    <row r="74">
      <c r="B74" s="16"/>
      <c r="C74" s="16"/>
      <c r="D74" s="16"/>
    </row>
    <row r="75">
      <c r="B75" s="16"/>
      <c r="C75" s="16"/>
      <c r="D75" s="16"/>
    </row>
    <row r="76">
      <c r="B76" s="16"/>
      <c r="C76" s="16"/>
      <c r="D76" s="16"/>
    </row>
    <row r="77">
      <c r="B77" s="16"/>
      <c r="C77" s="16"/>
      <c r="D77" s="16"/>
    </row>
    <row r="78">
      <c r="B78" s="16"/>
      <c r="C78" s="16"/>
      <c r="D78" s="16"/>
    </row>
    <row r="79">
      <c r="B79" s="16"/>
      <c r="C79" s="16"/>
      <c r="D79" s="16"/>
    </row>
    <row r="80">
      <c r="B80" s="16"/>
      <c r="C80" s="16"/>
      <c r="D80" s="16"/>
    </row>
    <row r="81">
      <c r="B81" s="16"/>
      <c r="C81" s="16"/>
      <c r="D81" s="16"/>
    </row>
    <row r="82">
      <c r="B82" s="16"/>
      <c r="C82" s="16"/>
      <c r="D82" s="16"/>
    </row>
    <row r="83">
      <c r="B83" s="16"/>
      <c r="C83" s="16"/>
      <c r="D83" s="16"/>
    </row>
    <row r="84">
      <c r="B84" s="16"/>
      <c r="C84" s="16"/>
      <c r="D84" s="16"/>
    </row>
    <row r="85">
      <c r="B85" s="16"/>
      <c r="C85" s="16"/>
      <c r="D85" s="16"/>
    </row>
    <row r="86">
      <c r="B86" s="16"/>
      <c r="C86" s="16"/>
      <c r="D86" s="16"/>
    </row>
    <row r="87">
      <c r="B87" s="16"/>
      <c r="C87" s="16"/>
      <c r="D87" s="16"/>
    </row>
    <row r="88">
      <c r="B88" s="16"/>
      <c r="C88" s="16"/>
      <c r="D88" s="16"/>
    </row>
    <row r="89">
      <c r="B89" s="16"/>
      <c r="C89" s="16"/>
      <c r="D89" s="16"/>
    </row>
    <row r="90">
      <c r="B90" s="16"/>
      <c r="C90" s="16"/>
      <c r="D90" s="16"/>
    </row>
    <row r="91">
      <c r="B91" s="16"/>
      <c r="C91" s="16"/>
      <c r="D91" s="16"/>
    </row>
    <row r="92">
      <c r="B92" s="16"/>
      <c r="C92" s="16"/>
      <c r="D92" s="16"/>
    </row>
    <row r="93">
      <c r="B93" s="16"/>
      <c r="C93" s="16"/>
      <c r="D93" s="16"/>
    </row>
    <row r="94">
      <c r="B94" s="16"/>
      <c r="C94" s="16"/>
      <c r="D94" s="16"/>
    </row>
    <row r="95">
      <c r="B95" s="16"/>
      <c r="C95" s="16"/>
      <c r="D95" s="16"/>
    </row>
    <row r="96">
      <c r="B96" s="16"/>
      <c r="C96" s="16"/>
      <c r="D96" s="16"/>
    </row>
    <row r="97">
      <c r="B97" s="16"/>
      <c r="C97" s="16"/>
      <c r="D97" s="16"/>
    </row>
    <row r="98">
      <c r="B98" s="16"/>
      <c r="C98" s="16"/>
      <c r="D98" s="16"/>
    </row>
    <row r="99">
      <c r="B99" s="16"/>
      <c r="C99" s="16"/>
      <c r="D99" s="16"/>
    </row>
    <row r="100">
      <c r="B100" s="16"/>
      <c r="C100" s="16"/>
      <c r="D100" s="16"/>
    </row>
    <row r="101">
      <c r="B101" s="16"/>
      <c r="C101" s="16"/>
      <c r="D101" s="16"/>
    </row>
    <row r="102">
      <c r="B102" s="16"/>
      <c r="C102" s="16"/>
      <c r="D102" s="16"/>
    </row>
    <row r="103">
      <c r="B103" s="16"/>
      <c r="C103" s="16"/>
      <c r="D103" s="16"/>
    </row>
    <row r="104">
      <c r="B104" s="16"/>
      <c r="C104" s="16"/>
      <c r="D104" s="16"/>
    </row>
    <row r="105">
      <c r="B105" s="16"/>
      <c r="C105" s="16"/>
      <c r="D105" s="16"/>
    </row>
    <row r="106">
      <c r="B106" s="16"/>
      <c r="C106" s="16"/>
      <c r="D106" s="16"/>
    </row>
    <row r="107">
      <c r="B107" s="16"/>
      <c r="C107" s="16"/>
      <c r="D107" s="16"/>
    </row>
    <row r="108">
      <c r="B108" s="16"/>
      <c r="C108" s="16"/>
      <c r="D108" s="16"/>
    </row>
    <row r="109">
      <c r="B109" s="16"/>
      <c r="C109" s="16"/>
      <c r="D109" s="16"/>
    </row>
    <row r="110">
      <c r="B110" s="16"/>
      <c r="C110" s="16"/>
      <c r="D110" s="16"/>
    </row>
    <row r="111">
      <c r="B111" s="16"/>
      <c r="C111" s="16"/>
      <c r="D111" s="16"/>
    </row>
    <row r="112">
      <c r="B112" s="16"/>
      <c r="C112" s="16"/>
      <c r="D112" s="16"/>
    </row>
    <row r="113">
      <c r="B113" s="16"/>
      <c r="C113" s="16"/>
      <c r="D113" s="16"/>
    </row>
    <row r="114">
      <c r="B114" s="16"/>
      <c r="C114" s="16"/>
      <c r="D114" s="16"/>
    </row>
    <row r="115">
      <c r="B115" s="16"/>
      <c r="C115" s="16"/>
      <c r="D115" s="16"/>
    </row>
    <row r="116">
      <c r="B116" s="16"/>
      <c r="C116" s="16"/>
      <c r="D116" s="16"/>
    </row>
    <row r="117">
      <c r="B117" s="16"/>
      <c r="C117" s="16"/>
      <c r="D117" s="16"/>
    </row>
    <row r="118">
      <c r="B118" s="16"/>
      <c r="C118" s="16"/>
      <c r="D118" s="16"/>
    </row>
    <row r="119">
      <c r="B119" s="16"/>
      <c r="C119" s="16"/>
      <c r="D119" s="16"/>
    </row>
    <row r="120">
      <c r="B120" s="16"/>
      <c r="C120" s="16"/>
      <c r="D120" s="16"/>
    </row>
    <row r="121">
      <c r="B121" s="16"/>
      <c r="C121" s="16"/>
      <c r="D121" s="16"/>
    </row>
    <row r="122">
      <c r="B122" s="16"/>
      <c r="C122" s="16"/>
      <c r="D122" s="16"/>
    </row>
    <row r="123">
      <c r="B123" s="16"/>
      <c r="C123" s="16"/>
      <c r="D123" s="16"/>
    </row>
    <row r="124">
      <c r="B124" s="16"/>
      <c r="C124" s="16"/>
      <c r="D124" s="16"/>
    </row>
    <row r="125">
      <c r="B125" s="16"/>
      <c r="C125" s="16"/>
      <c r="D125" s="16"/>
    </row>
    <row r="126">
      <c r="B126" s="16"/>
      <c r="C126" s="16"/>
      <c r="D126" s="16"/>
    </row>
    <row r="127">
      <c r="B127" s="16"/>
      <c r="C127" s="16"/>
      <c r="D127" s="16"/>
    </row>
    <row r="128">
      <c r="B128" s="16"/>
      <c r="C128" s="16"/>
      <c r="D128" s="16"/>
    </row>
    <row r="129">
      <c r="B129" s="16"/>
      <c r="C129" s="16"/>
      <c r="D129" s="16"/>
    </row>
    <row r="130">
      <c r="B130" s="16"/>
      <c r="C130" s="16"/>
      <c r="D130" s="16"/>
    </row>
    <row r="131">
      <c r="B131" s="16"/>
      <c r="C131" s="16"/>
      <c r="D131" s="16"/>
    </row>
    <row r="132">
      <c r="B132" s="16"/>
      <c r="C132" s="16"/>
      <c r="D132" s="16"/>
    </row>
    <row r="133">
      <c r="B133" s="16"/>
      <c r="C133" s="16"/>
      <c r="D133" s="16"/>
    </row>
    <row r="134">
      <c r="B134" s="16"/>
      <c r="C134" s="16"/>
      <c r="D134" s="16"/>
    </row>
    <row r="135">
      <c r="B135" s="16"/>
      <c r="C135" s="16"/>
      <c r="D135" s="16"/>
    </row>
    <row r="136">
      <c r="B136" s="16"/>
      <c r="C136" s="16"/>
      <c r="D136" s="16"/>
    </row>
    <row r="137">
      <c r="B137" s="16"/>
      <c r="C137" s="16"/>
      <c r="D137" s="16"/>
    </row>
    <row r="138">
      <c r="B138" s="16"/>
      <c r="C138" s="16"/>
      <c r="D138" s="16"/>
    </row>
    <row r="139">
      <c r="B139" s="16"/>
      <c r="C139" s="16"/>
      <c r="D139" s="16"/>
    </row>
    <row r="140">
      <c r="B140" s="16"/>
      <c r="C140" s="16"/>
      <c r="D140" s="16"/>
    </row>
    <row r="141">
      <c r="B141" s="16"/>
      <c r="C141" s="16"/>
      <c r="D141" s="16"/>
    </row>
    <row r="142">
      <c r="B142" s="16"/>
      <c r="C142" s="16"/>
      <c r="D142" s="16"/>
    </row>
    <row r="143">
      <c r="B143" s="16"/>
      <c r="C143" s="16"/>
      <c r="D143" s="16"/>
    </row>
    <row r="144">
      <c r="B144" s="16"/>
      <c r="C144" s="16"/>
      <c r="D144" s="16"/>
    </row>
    <row r="145">
      <c r="B145" s="16"/>
      <c r="C145" s="16"/>
      <c r="D145" s="16"/>
    </row>
    <row r="146">
      <c r="B146" s="16"/>
      <c r="C146" s="16"/>
      <c r="D146" s="16"/>
    </row>
    <row r="147">
      <c r="B147" s="16"/>
      <c r="C147" s="16"/>
      <c r="D147" s="16"/>
    </row>
    <row r="148">
      <c r="B148" s="16"/>
      <c r="C148" s="16"/>
      <c r="D148" s="16"/>
    </row>
    <row r="149">
      <c r="B149" s="16"/>
      <c r="C149" s="16"/>
      <c r="D149" s="16"/>
    </row>
    <row r="150">
      <c r="B150" s="16"/>
      <c r="C150" s="16"/>
      <c r="D150" s="16"/>
    </row>
    <row r="151">
      <c r="B151" s="16"/>
      <c r="C151" s="16"/>
      <c r="D151" s="16"/>
    </row>
    <row r="152">
      <c r="B152" s="16"/>
      <c r="C152" s="16"/>
      <c r="D152" s="16"/>
    </row>
    <row r="153">
      <c r="B153" s="16"/>
      <c r="C153" s="16"/>
      <c r="D153" s="16"/>
    </row>
    <row r="154">
      <c r="B154" s="16"/>
      <c r="C154" s="16"/>
      <c r="D154" s="16"/>
    </row>
    <row r="155">
      <c r="B155" s="16"/>
      <c r="C155" s="16"/>
      <c r="D155" s="16"/>
    </row>
    <row r="156">
      <c r="B156" s="16"/>
      <c r="C156" s="16"/>
      <c r="D156" s="16"/>
    </row>
    <row r="157">
      <c r="B157" s="16"/>
      <c r="C157" s="16"/>
      <c r="D157" s="16"/>
    </row>
    <row r="158">
      <c r="B158" s="16"/>
      <c r="C158" s="16"/>
      <c r="D158" s="16"/>
    </row>
    <row r="159">
      <c r="B159" s="16"/>
      <c r="C159" s="16"/>
      <c r="D159" s="16"/>
    </row>
    <row r="160">
      <c r="B160" s="16"/>
      <c r="C160" s="16"/>
      <c r="D160" s="16"/>
    </row>
    <row r="161">
      <c r="B161" s="16"/>
      <c r="C161" s="16"/>
      <c r="D161" s="16"/>
    </row>
    <row r="162">
      <c r="B162" s="16"/>
      <c r="C162" s="16"/>
      <c r="D162" s="16"/>
    </row>
    <row r="163">
      <c r="B163" s="16"/>
      <c r="C163" s="16"/>
      <c r="D163" s="16"/>
    </row>
    <row r="164">
      <c r="B164" s="16"/>
      <c r="C164" s="16"/>
      <c r="D164" s="16"/>
    </row>
    <row r="165">
      <c r="B165" s="16"/>
      <c r="C165" s="16"/>
      <c r="D165" s="16"/>
    </row>
    <row r="166">
      <c r="B166" s="16"/>
      <c r="C166" s="16"/>
      <c r="D166" s="16"/>
    </row>
    <row r="167">
      <c r="B167" s="16"/>
      <c r="C167" s="16"/>
      <c r="D167" s="16"/>
    </row>
    <row r="168">
      <c r="B168" s="16"/>
      <c r="C168" s="16"/>
      <c r="D168" s="16"/>
    </row>
    <row r="169">
      <c r="B169" s="16"/>
      <c r="C169" s="16"/>
      <c r="D169" s="16"/>
    </row>
    <row r="170">
      <c r="B170" s="16"/>
      <c r="C170" s="16"/>
      <c r="D170" s="16"/>
    </row>
    <row r="171">
      <c r="B171" s="16"/>
      <c r="C171" s="16"/>
      <c r="D171" s="16"/>
    </row>
    <row r="172">
      <c r="B172" s="16"/>
      <c r="C172" s="16"/>
      <c r="D172" s="16"/>
    </row>
    <row r="173">
      <c r="B173" s="16"/>
      <c r="C173" s="16"/>
      <c r="D173" s="16"/>
    </row>
    <row r="174">
      <c r="B174" s="16"/>
      <c r="C174" s="16"/>
      <c r="D174" s="16"/>
    </row>
    <row r="175">
      <c r="B175" s="16"/>
      <c r="C175" s="16"/>
      <c r="D175" s="16"/>
    </row>
    <row r="176">
      <c r="B176" s="16"/>
      <c r="C176" s="16"/>
      <c r="D176" s="16"/>
    </row>
    <row r="177">
      <c r="B177" s="16"/>
      <c r="C177" s="16"/>
      <c r="D177" s="16"/>
    </row>
    <row r="178">
      <c r="B178" s="16"/>
      <c r="C178" s="16"/>
      <c r="D178" s="16"/>
    </row>
    <row r="179">
      <c r="B179" s="16"/>
      <c r="C179" s="16"/>
      <c r="D179" s="16"/>
    </row>
    <row r="180">
      <c r="B180" s="16"/>
      <c r="C180" s="16"/>
      <c r="D180" s="16"/>
    </row>
    <row r="181">
      <c r="B181" s="16"/>
      <c r="C181" s="16"/>
      <c r="D181" s="16"/>
    </row>
    <row r="182">
      <c r="B182" s="16"/>
      <c r="C182" s="16"/>
      <c r="D182" s="16"/>
    </row>
    <row r="183">
      <c r="B183" s="16"/>
      <c r="C183" s="16"/>
      <c r="D183" s="16"/>
    </row>
    <row r="184">
      <c r="B184" s="16"/>
      <c r="C184" s="16"/>
      <c r="D184" s="16"/>
    </row>
    <row r="185">
      <c r="B185" s="16"/>
      <c r="C185" s="16"/>
      <c r="D185" s="16"/>
    </row>
    <row r="186">
      <c r="B186" s="16"/>
      <c r="C186" s="16"/>
      <c r="D186" s="16"/>
    </row>
    <row r="187">
      <c r="B187" s="16"/>
      <c r="C187" s="16"/>
      <c r="D187" s="16"/>
    </row>
    <row r="188">
      <c r="B188" s="16"/>
      <c r="C188" s="16"/>
      <c r="D188" s="16"/>
    </row>
    <row r="189">
      <c r="B189" s="16"/>
      <c r="C189" s="16"/>
      <c r="D189" s="16"/>
    </row>
    <row r="190">
      <c r="B190" s="16"/>
      <c r="C190" s="16"/>
      <c r="D190" s="16"/>
    </row>
    <row r="191">
      <c r="B191" s="16"/>
      <c r="C191" s="16"/>
      <c r="D191" s="16"/>
    </row>
    <row r="192">
      <c r="B192" s="16"/>
      <c r="C192" s="16"/>
      <c r="D192" s="16"/>
    </row>
    <row r="193">
      <c r="B193" s="16"/>
      <c r="C193" s="16"/>
      <c r="D193" s="16"/>
    </row>
    <row r="194">
      <c r="B194" s="16"/>
      <c r="C194" s="16"/>
      <c r="D194" s="16"/>
    </row>
    <row r="195">
      <c r="B195" s="16"/>
      <c r="C195" s="16"/>
      <c r="D195" s="16"/>
    </row>
    <row r="196">
      <c r="B196" s="16"/>
      <c r="C196" s="16"/>
      <c r="D196" s="16"/>
    </row>
    <row r="197">
      <c r="B197" s="16"/>
      <c r="C197" s="16"/>
      <c r="D197" s="16"/>
    </row>
    <row r="198">
      <c r="B198" s="16"/>
      <c r="C198" s="16"/>
      <c r="D198" s="16"/>
    </row>
    <row r="199">
      <c r="B199" s="16"/>
      <c r="C199" s="16"/>
      <c r="D199" s="16"/>
    </row>
    <row r="200">
      <c r="B200" s="16"/>
      <c r="C200" s="16"/>
      <c r="D200" s="16"/>
    </row>
    <row r="201">
      <c r="B201" s="16"/>
      <c r="C201" s="16"/>
      <c r="D201" s="16"/>
    </row>
    <row r="202">
      <c r="B202" s="16"/>
      <c r="C202" s="16"/>
      <c r="D202" s="16"/>
    </row>
    <row r="203">
      <c r="B203" s="16"/>
      <c r="C203" s="16"/>
      <c r="D203" s="16"/>
    </row>
    <row r="204">
      <c r="B204" s="16"/>
      <c r="C204" s="16"/>
      <c r="D204" s="16"/>
    </row>
    <row r="205">
      <c r="B205" s="16"/>
      <c r="C205" s="16"/>
      <c r="D205" s="16"/>
    </row>
    <row r="206">
      <c r="B206" s="16"/>
      <c r="C206" s="16"/>
      <c r="D206" s="16"/>
    </row>
    <row r="207">
      <c r="B207" s="16"/>
      <c r="C207" s="16"/>
      <c r="D207" s="16"/>
    </row>
    <row r="208">
      <c r="B208" s="16"/>
      <c r="C208" s="16"/>
      <c r="D208" s="16"/>
    </row>
    <row r="209">
      <c r="B209" s="16"/>
      <c r="C209" s="16"/>
      <c r="D209" s="16"/>
    </row>
    <row r="210">
      <c r="B210" s="16"/>
      <c r="C210" s="16"/>
      <c r="D210" s="16"/>
    </row>
    <row r="211">
      <c r="B211" s="16"/>
      <c r="C211" s="16"/>
      <c r="D211" s="16"/>
    </row>
    <row r="212">
      <c r="B212" s="16"/>
      <c r="C212" s="16"/>
      <c r="D212" s="16"/>
    </row>
    <row r="213">
      <c r="B213" s="16"/>
      <c r="C213" s="16"/>
      <c r="D213" s="16"/>
    </row>
    <row r="214">
      <c r="B214" s="16"/>
      <c r="C214" s="16"/>
      <c r="D214" s="16"/>
    </row>
    <row r="215">
      <c r="B215" s="16"/>
      <c r="C215" s="16"/>
      <c r="D215" s="16"/>
    </row>
    <row r="216">
      <c r="B216" s="16"/>
      <c r="C216" s="16"/>
      <c r="D216" s="16"/>
    </row>
    <row r="217">
      <c r="B217" s="16"/>
      <c r="C217" s="16"/>
      <c r="D217" s="16"/>
    </row>
    <row r="218">
      <c r="B218" s="16"/>
      <c r="C218" s="16"/>
      <c r="D218" s="16"/>
    </row>
    <row r="219">
      <c r="B219" s="16"/>
      <c r="C219" s="16"/>
      <c r="D219" s="16"/>
    </row>
    <row r="220">
      <c r="B220" s="16"/>
      <c r="C220" s="16"/>
      <c r="D220" s="16"/>
    </row>
    <row r="221">
      <c r="B221" s="16"/>
      <c r="C221" s="16"/>
      <c r="D221" s="16"/>
    </row>
    <row r="222">
      <c r="B222" s="16"/>
      <c r="C222" s="16"/>
      <c r="D222" s="16"/>
    </row>
    <row r="223">
      <c r="B223" s="16"/>
      <c r="C223" s="16"/>
      <c r="D223" s="16"/>
    </row>
    <row r="224">
      <c r="B224" s="16"/>
      <c r="C224" s="16"/>
      <c r="D224" s="16"/>
    </row>
    <row r="225">
      <c r="B225" s="16"/>
      <c r="C225" s="16"/>
      <c r="D225" s="16"/>
    </row>
    <row r="226">
      <c r="B226" s="16"/>
      <c r="C226" s="16"/>
      <c r="D226" s="16"/>
    </row>
    <row r="227">
      <c r="B227" s="16"/>
      <c r="C227" s="16"/>
      <c r="D227" s="16"/>
    </row>
    <row r="228">
      <c r="B228" s="16"/>
      <c r="C228" s="16"/>
      <c r="D228" s="16"/>
    </row>
    <row r="229">
      <c r="B229" s="16"/>
      <c r="C229" s="16"/>
      <c r="D229" s="16"/>
    </row>
    <row r="230">
      <c r="B230" s="16"/>
      <c r="C230" s="16"/>
      <c r="D230" s="16"/>
    </row>
    <row r="231">
      <c r="B231" s="16"/>
      <c r="C231" s="16"/>
      <c r="D231" s="16"/>
    </row>
    <row r="232">
      <c r="B232" s="16"/>
      <c r="C232" s="16"/>
      <c r="D232" s="16"/>
    </row>
    <row r="233">
      <c r="B233" s="16"/>
      <c r="C233" s="16"/>
      <c r="D233" s="16"/>
    </row>
    <row r="234">
      <c r="B234" s="16"/>
      <c r="C234" s="16"/>
      <c r="D234" s="16"/>
    </row>
    <row r="235">
      <c r="B235" s="16"/>
      <c r="C235" s="16"/>
      <c r="D235" s="16"/>
    </row>
    <row r="236">
      <c r="B236" s="16"/>
      <c r="C236" s="16"/>
      <c r="D236" s="16"/>
    </row>
    <row r="237">
      <c r="B237" s="16"/>
      <c r="C237" s="16"/>
      <c r="D237" s="16"/>
    </row>
    <row r="238">
      <c r="B238" s="16"/>
      <c r="C238" s="16"/>
      <c r="D238" s="16"/>
    </row>
    <row r="239">
      <c r="B239" s="16"/>
      <c r="C239" s="16"/>
      <c r="D239" s="16"/>
    </row>
    <row r="240">
      <c r="B240" s="16"/>
      <c r="C240" s="16"/>
      <c r="D240" s="16"/>
    </row>
    <row r="241">
      <c r="B241" s="16"/>
      <c r="C241" s="16"/>
      <c r="D241" s="16"/>
    </row>
    <row r="242">
      <c r="B242" s="16"/>
      <c r="C242" s="16"/>
      <c r="D242" s="16"/>
    </row>
    <row r="243">
      <c r="B243" s="16"/>
      <c r="C243" s="16"/>
      <c r="D243" s="16"/>
    </row>
    <row r="244">
      <c r="B244" s="16"/>
      <c r="C244" s="16"/>
      <c r="D244" s="16"/>
    </row>
    <row r="245">
      <c r="B245" s="16"/>
      <c r="C245" s="16"/>
      <c r="D245" s="16"/>
    </row>
    <row r="246">
      <c r="B246" s="16"/>
      <c r="C246" s="16"/>
      <c r="D246" s="16"/>
    </row>
    <row r="247">
      <c r="B247" s="16"/>
      <c r="C247" s="16"/>
      <c r="D247" s="16"/>
    </row>
    <row r="248">
      <c r="B248" s="16"/>
      <c r="C248" s="16"/>
      <c r="D248" s="16"/>
    </row>
    <row r="249">
      <c r="B249" s="16"/>
      <c r="C249" s="16"/>
      <c r="D249" s="16"/>
    </row>
    <row r="250">
      <c r="B250" s="16"/>
      <c r="C250" s="16"/>
      <c r="D250" s="16"/>
    </row>
    <row r="251">
      <c r="B251" s="16"/>
      <c r="C251" s="16"/>
      <c r="D251" s="16"/>
    </row>
    <row r="252">
      <c r="B252" s="16"/>
      <c r="C252" s="16"/>
      <c r="D252" s="16"/>
    </row>
    <row r="253">
      <c r="B253" s="16"/>
      <c r="C253" s="16"/>
      <c r="D253" s="16"/>
    </row>
    <row r="254">
      <c r="B254" s="16"/>
      <c r="C254" s="16"/>
      <c r="D254" s="16"/>
    </row>
    <row r="255">
      <c r="B255" s="16"/>
      <c r="C255" s="16"/>
      <c r="D255" s="16"/>
    </row>
    <row r="256">
      <c r="B256" s="16"/>
      <c r="C256" s="16"/>
      <c r="D256" s="16"/>
    </row>
    <row r="257">
      <c r="B257" s="16"/>
      <c r="C257" s="16"/>
      <c r="D257" s="16"/>
    </row>
    <row r="258">
      <c r="B258" s="16"/>
      <c r="C258" s="16"/>
      <c r="D258" s="16"/>
    </row>
    <row r="259">
      <c r="B259" s="16"/>
      <c r="C259" s="16"/>
      <c r="D259" s="16"/>
    </row>
    <row r="260">
      <c r="B260" s="16"/>
      <c r="C260" s="16"/>
      <c r="D260" s="16"/>
    </row>
    <row r="261">
      <c r="B261" s="16"/>
      <c r="C261" s="16"/>
      <c r="D261" s="16"/>
    </row>
    <row r="262">
      <c r="B262" s="16"/>
      <c r="C262" s="16"/>
      <c r="D262" s="16"/>
    </row>
    <row r="263">
      <c r="B263" s="16"/>
      <c r="C263" s="16"/>
      <c r="D263" s="16"/>
    </row>
    <row r="264">
      <c r="B264" s="16"/>
      <c r="C264" s="16"/>
      <c r="D264" s="16"/>
    </row>
    <row r="265">
      <c r="B265" s="16"/>
      <c r="C265" s="16"/>
      <c r="D265" s="16"/>
    </row>
    <row r="266">
      <c r="B266" s="16"/>
      <c r="C266" s="16"/>
      <c r="D266" s="16"/>
    </row>
    <row r="267">
      <c r="B267" s="16"/>
      <c r="C267" s="16"/>
      <c r="D267" s="16"/>
    </row>
    <row r="268">
      <c r="B268" s="16"/>
      <c r="C268" s="16"/>
      <c r="D268" s="16"/>
    </row>
    <row r="269">
      <c r="B269" s="16"/>
      <c r="C269" s="16"/>
      <c r="D269" s="16"/>
    </row>
    <row r="270">
      <c r="B270" s="16"/>
      <c r="C270" s="16"/>
      <c r="D270" s="16"/>
    </row>
    <row r="271">
      <c r="B271" s="16"/>
      <c r="C271" s="16"/>
      <c r="D271" s="16"/>
    </row>
    <row r="272">
      <c r="B272" s="16"/>
      <c r="C272" s="16"/>
      <c r="D272" s="16"/>
    </row>
    <row r="273">
      <c r="B273" s="16"/>
      <c r="C273" s="16"/>
      <c r="D273" s="16"/>
    </row>
    <row r="274">
      <c r="B274" s="16"/>
      <c r="C274" s="16"/>
      <c r="D274" s="16"/>
    </row>
    <row r="275">
      <c r="B275" s="16"/>
      <c r="C275" s="16"/>
      <c r="D275" s="16"/>
    </row>
    <row r="276">
      <c r="B276" s="16"/>
      <c r="C276" s="16"/>
      <c r="D276" s="16"/>
    </row>
    <row r="277">
      <c r="B277" s="16"/>
      <c r="C277" s="16"/>
      <c r="D277" s="16"/>
    </row>
    <row r="278">
      <c r="B278" s="16"/>
      <c r="C278" s="16"/>
      <c r="D278" s="16"/>
    </row>
    <row r="279">
      <c r="B279" s="16"/>
      <c r="C279" s="16"/>
      <c r="D279" s="16"/>
    </row>
    <row r="280">
      <c r="B280" s="16"/>
      <c r="C280" s="16"/>
      <c r="D280" s="16"/>
    </row>
    <row r="281">
      <c r="B281" s="16"/>
      <c r="C281" s="16"/>
      <c r="D281" s="16"/>
    </row>
    <row r="282">
      <c r="B282" s="16"/>
      <c r="C282" s="16"/>
      <c r="D282" s="16"/>
    </row>
    <row r="283">
      <c r="B283" s="16"/>
      <c r="C283" s="16"/>
      <c r="D283" s="16"/>
    </row>
    <row r="284">
      <c r="B284" s="16"/>
      <c r="C284" s="16"/>
      <c r="D284" s="16"/>
    </row>
    <row r="285">
      <c r="B285" s="16"/>
      <c r="C285" s="16"/>
      <c r="D285" s="16"/>
    </row>
    <row r="286">
      <c r="B286" s="16"/>
      <c r="C286" s="16"/>
      <c r="D286" s="16"/>
    </row>
    <row r="287">
      <c r="B287" s="16"/>
      <c r="C287" s="16"/>
      <c r="D287" s="16"/>
    </row>
    <row r="288">
      <c r="B288" s="16"/>
      <c r="C288" s="16"/>
      <c r="D288" s="16"/>
    </row>
    <row r="289">
      <c r="B289" s="16"/>
      <c r="C289" s="16"/>
      <c r="D289" s="16"/>
    </row>
    <row r="290">
      <c r="B290" s="16"/>
      <c r="C290" s="16"/>
      <c r="D290" s="16"/>
    </row>
    <row r="291">
      <c r="B291" s="16"/>
      <c r="C291" s="16"/>
      <c r="D291" s="16"/>
    </row>
    <row r="292">
      <c r="B292" s="16"/>
      <c r="C292" s="16"/>
      <c r="D292" s="16"/>
    </row>
    <row r="293">
      <c r="B293" s="16"/>
      <c r="C293" s="16"/>
      <c r="D293" s="16"/>
    </row>
    <row r="294">
      <c r="B294" s="16"/>
      <c r="C294" s="16"/>
      <c r="D294" s="16"/>
    </row>
    <row r="295">
      <c r="B295" s="16"/>
      <c r="C295" s="16"/>
      <c r="D295" s="16"/>
    </row>
    <row r="296">
      <c r="B296" s="16"/>
      <c r="C296" s="16"/>
      <c r="D296" s="16"/>
    </row>
    <row r="297">
      <c r="B297" s="16"/>
      <c r="C297" s="16"/>
      <c r="D297" s="16"/>
    </row>
    <row r="298">
      <c r="B298" s="16"/>
      <c r="C298" s="16"/>
      <c r="D298" s="16"/>
    </row>
    <row r="299">
      <c r="B299" s="16"/>
      <c r="C299" s="16"/>
      <c r="D299" s="16"/>
    </row>
    <row r="300">
      <c r="B300" s="16"/>
      <c r="C300" s="16"/>
      <c r="D300" s="16"/>
    </row>
    <row r="301">
      <c r="B301" s="16"/>
      <c r="C301" s="16"/>
      <c r="D301" s="16"/>
    </row>
    <row r="302">
      <c r="B302" s="16"/>
      <c r="C302" s="16"/>
      <c r="D302" s="16"/>
    </row>
    <row r="303">
      <c r="B303" s="16"/>
      <c r="C303" s="16"/>
      <c r="D303" s="16"/>
    </row>
    <row r="304">
      <c r="B304" s="16"/>
      <c r="C304" s="16"/>
      <c r="D304" s="16"/>
    </row>
    <row r="305">
      <c r="B305" s="16"/>
      <c r="C305" s="16"/>
      <c r="D305" s="16"/>
    </row>
    <row r="306">
      <c r="B306" s="16"/>
      <c r="C306" s="16"/>
      <c r="D306" s="16"/>
    </row>
    <row r="307">
      <c r="B307" s="16"/>
      <c r="C307" s="16"/>
      <c r="D307" s="16"/>
    </row>
    <row r="308">
      <c r="B308" s="16"/>
      <c r="C308" s="16"/>
      <c r="D308" s="16"/>
    </row>
    <row r="309">
      <c r="B309" s="16"/>
      <c r="C309" s="16"/>
      <c r="D309" s="16"/>
    </row>
    <row r="310">
      <c r="B310" s="16"/>
      <c r="C310" s="16"/>
      <c r="D310" s="16"/>
    </row>
    <row r="311">
      <c r="B311" s="16"/>
      <c r="C311" s="16"/>
      <c r="D311" s="16"/>
    </row>
    <row r="312">
      <c r="B312" s="16"/>
      <c r="C312" s="16"/>
      <c r="D312" s="16"/>
    </row>
    <row r="313">
      <c r="B313" s="16"/>
      <c r="C313" s="16"/>
      <c r="D313" s="16"/>
    </row>
    <row r="314">
      <c r="B314" s="16"/>
      <c r="C314" s="16"/>
      <c r="D314" s="16"/>
    </row>
    <row r="315">
      <c r="B315" s="16"/>
      <c r="C315" s="16"/>
      <c r="D315" s="16"/>
    </row>
    <row r="316">
      <c r="B316" s="16"/>
      <c r="C316" s="16"/>
      <c r="D316" s="16"/>
    </row>
    <row r="317">
      <c r="B317" s="16"/>
      <c r="C317" s="16"/>
      <c r="D317" s="16"/>
    </row>
    <row r="318">
      <c r="B318" s="16"/>
      <c r="C318" s="16"/>
      <c r="D318" s="16"/>
    </row>
    <row r="319">
      <c r="B319" s="16"/>
      <c r="C319" s="16"/>
      <c r="D319" s="16"/>
    </row>
    <row r="320">
      <c r="B320" s="16"/>
      <c r="C320" s="16"/>
      <c r="D320" s="16"/>
    </row>
    <row r="321">
      <c r="B321" s="16"/>
      <c r="C321" s="16"/>
      <c r="D321" s="16"/>
    </row>
    <row r="322">
      <c r="B322" s="16"/>
      <c r="C322" s="16"/>
      <c r="D322" s="16"/>
    </row>
    <row r="323">
      <c r="B323" s="16"/>
      <c r="C323" s="16"/>
      <c r="D323" s="16"/>
    </row>
    <row r="324">
      <c r="B324" s="16"/>
      <c r="C324" s="16"/>
      <c r="D324" s="16"/>
    </row>
    <row r="325">
      <c r="B325" s="16"/>
      <c r="C325" s="16"/>
      <c r="D325" s="16"/>
    </row>
    <row r="326">
      <c r="B326" s="16"/>
      <c r="C326" s="16"/>
      <c r="D326" s="16"/>
    </row>
    <row r="327">
      <c r="B327" s="16"/>
      <c r="C327" s="16"/>
      <c r="D327" s="16"/>
    </row>
    <row r="328">
      <c r="B328" s="16"/>
      <c r="C328" s="16"/>
      <c r="D328" s="16"/>
    </row>
    <row r="329">
      <c r="B329" s="16"/>
      <c r="C329" s="16"/>
      <c r="D329" s="16"/>
    </row>
    <row r="330">
      <c r="B330" s="16"/>
      <c r="C330" s="16"/>
      <c r="D330" s="16"/>
    </row>
    <row r="331">
      <c r="B331" s="16"/>
      <c r="C331" s="16"/>
      <c r="D331" s="16"/>
    </row>
    <row r="332">
      <c r="B332" s="16"/>
      <c r="C332" s="16"/>
      <c r="D332" s="16"/>
    </row>
    <row r="333">
      <c r="B333" s="16"/>
      <c r="C333" s="16"/>
      <c r="D333" s="16"/>
    </row>
    <row r="334">
      <c r="B334" s="16"/>
      <c r="C334" s="16"/>
      <c r="D334" s="16"/>
    </row>
    <row r="335">
      <c r="B335" s="16"/>
      <c r="C335" s="16"/>
      <c r="D335" s="16"/>
    </row>
    <row r="336">
      <c r="B336" s="16"/>
      <c r="C336" s="16"/>
      <c r="D336" s="16"/>
    </row>
    <row r="337">
      <c r="B337" s="16"/>
      <c r="C337" s="16"/>
      <c r="D337" s="16"/>
    </row>
    <row r="338">
      <c r="B338" s="16"/>
      <c r="C338" s="16"/>
      <c r="D338" s="16"/>
    </row>
    <row r="339">
      <c r="B339" s="16"/>
      <c r="C339" s="16"/>
      <c r="D339" s="16"/>
    </row>
    <row r="340">
      <c r="B340" s="16"/>
      <c r="C340" s="16"/>
      <c r="D340" s="16"/>
    </row>
    <row r="341">
      <c r="B341" s="16"/>
      <c r="C341" s="16"/>
      <c r="D341" s="16"/>
    </row>
    <row r="342">
      <c r="B342" s="16"/>
      <c r="C342" s="16"/>
      <c r="D342" s="16"/>
    </row>
    <row r="343">
      <c r="B343" s="16"/>
      <c r="C343" s="16"/>
      <c r="D343" s="16"/>
    </row>
    <row r="344">
      <c r="B344" s="16"/>
      <c r="C344" s="16"/>
      <c r="D344" s="16"/>
    </row>
    <row r="345">
      <c r="B345" s="16"/>
      <c r="C345" s="16"/>
      <c r="D345" s="16"/>
    </row>
    <row r="346">
      <c r="B346" s="16"/>
      <c r="C346" s="16"/>
      <c r="D346" s="16"/>
    </row>
    <row r="347">
      <c r="B347" s="16"/>
      <c r="C347" s="16"/>
      <c r="D347" s="16"/>
    </row>
    <row r="348">
      <c r="B348" s="16"/>
      <c r="C348" s="16"/>
      <c r="D348" s="16"/>
    </row>
    <row r="349">
      <c r="B349" s="16"/>
      <c r="C349" s="16"/>
      <c r="D349" s="16"/>
    </row>
    <row r="350">
      <c r="B350" s="16"/>
      <c r="C350" s="16"/>
      <c r="D350" s="16"/>
    </row>
    <row r="351">
      <c r="B351" s="16"/>
      <c r="C351" s="16"/>
      <c r="D351" s="16"/>
    </row>
    <row r="352">
      <c r="B352" s="16"/>
      <c r="C352" s="16"/>
      <c r="D352" s="16"/>
    </row>
    <row r="353">
      <c r="B353" s="16"/>
      <c r="C353" s="16"/>
      <c r="D353" s="16"/>
    </row>
    <row r="354">
      <c r="B354" s="16"/>
      <c r="C354" s="16"/>
      <c r="D354" s="16"/>
    </row>
    <row r="355">
      <c r="B355" s="16"/>
      <c r="C355" s="16"/>
      <c r="D355" s="16"/>
    </row>
    <row r="356">
      <c r="B356" s="16"/>
      <c r="C356" s="16"/>
      <c r="D356" s="16"/>
    </row>
    <row r="357">
      <c r="B357" s="16"/>
      <c r="C357" s="16"/>
      <c r="D357" s="16"/>
    </row>
    <row r="358">
      <c r="B358" s="16"/>
      <c r="C358" s="16"/>
      <c r="D358" s="16"/>
    </row>
    <row r="359">
      <c r="B359" s="16"/>
      <c r="C359" s="16"/>
      <c r="D359" s="16"/>
    </row>
    <row r="360">
      <c r="B360" s="16"/>
      <c r="C360" s="16"/>
      <c r="D360" s="16"/>
    </row>
    <row r="361">
      <c r="B361" s="16"/>
      <c r="C361" s="16"/>
      <c r="D361" s="16"/>
    </row>
    <row r="362">
      <c r="B362" s="16"/>
      <c r="C362" s="16"/>
      <c r="D362" s="16"/>
    </row>
    <row r="363">
      <c r="B363" s="16"/>
      <c r="C363" s="16"/>
      <c r="D363" s="16"/>
    </row>
    <row r="364">
      <c r="B364" s="16"/>
      <c r="C364" s="16"/>
      <c r="D364" s="16"/>
    </row>
    <row r="365">
      <c r="B365" s="16"/>
      <c r="C365" s="16"/>
      <c r="D365" s="16"/>
    </row>
    <row r="366">
      <c r="B366" s="16"/>
      <c r="C366" s="16"/>
      <c r="D366" s="16"/>
    </row>
    <row r="367">
      <c r="B367" s="16"/>
      <c r="C367" s="16"/>
      <c r="D367" s="16"/>
    </row>
    <row r="368">
      <c r="B368" s="16"/>
      <c r="C368" s="16"/>
      <c r="D368" s="16"/>
    </row>
    <row r="369">
      <c r="B369" s="16"/>
      <c r="C369" s="16"/>
      <c r="D369" s="16"/>
    </row>
    <row r="370">
      <c r="B370" s="16"/>
      <c r="C370" s="16"/>
      <c r="D370" s="16"/>
    </row>
    <row r="371">
      <c r="B371" s="16"/>
      <c r="C371" s="16"/>
      <c r="D371" s="16"/>
    </row>
    <row r="372">
      <c r="B372" s="16"/>
      <c r="C372" s="16"/>
      <c r="D372" s="16"/>
    </row>
    <row r="373">
      <c r="B373" s="16"/>
      <c r="C373" s="16"/>
      <c r="D373" s="16"/>
    </row>
    <row r="374">
      <c r="B374" s="16"/>
      <c r="C374" s="16"/>
      <c r="D374" s="16"/>
    </row>
    <row r="375">
      <c r="B375" s="16"/>
      <c r="C375" s="16"/>
      <c r="D375" s="16"/>
    </row>
    <row r="376">
      <c r="B376" s="16"/>
      <c r="C376" s="16"/>
      <c r="D376" s="16"/>
    </row>
    <row r="377">
      <c r="B377" s="16"/>
      <c r="C377" s="16"/>
      <c r="D377" s="16"/>
    </row>
    <row r="378">
      <c r="B378" s="16"/>
      <c r="C378" s="16"/>
      <c r="D378" s="16"/>
    </row>
    <row r="379">
      <c r="B379" s="16"/>
      <c r="C379" s="16"/>
      <c r="D379" s="16"/>
    </row>
    <row r="380">
      <c r="B380" s="16"/>
      <c r="C380" s="16"/>
      <c r="D380" s="16"/>
    </row>
    <row r="381">
      <c r="B381" s="16"/>
      <c r="C381" s="16"/>
      <c r="D381" s="16"/>
    </row>
    <row r="382">
      <c r="B382" s="16"/>
      <c r="C382" s="16"/>
      <c r="D382" s="16"/>
    </row>
    <row r="383">
      <c r="B383" s="16"/>
      <c r="C383" s="16"/>
      <c r="D383" s="16"/>
    </row>
    <row r="384">
      <c r="B384" s="16"/>
      <c r="C384" s="16"/>
      <c r="D384" s="16"/>
    </row>
    <row r="385">
      <c r="B385" s="16"/>
      <c r="C385" s="16"/>
      <c r="D385" s="16"/>
    </row>
    <row r="386">
      <c r="B386" s="16"/>
      <c r="C386" s="16"/>
      <c r="D386" s="16"/>
    </row>
    <row r="387">
      <c r="B387" s="16"/>
      <c r="C387" s="16"/>
      <c r="D387" s="16"/>
    </row>
    <row r="388">
      <c r="B388" s="16"/>
      <c r="C388" s="16"/>
      <c r="D388" s="16"/>
    </row>
    <row r="389">
      <c r="B389" s="16"/>
      <c r="C389" s="16"/>
      <c r="D389" s="16"/>
    </row>
    <row r="390">
      <c r="B390" s="16"/>
      <c r="C390" s="16"/>
      <c r="D390" s="16"/>
    </row>
    <row r="391">
      <c r="B391" s="16"/>
      <c r="C391" s="16"/>
      <c r="D391" s="16"/>
    </row>
    <row r="392">
      <c r="B392" s="16"/>
      <c r="C392" s="16"/>
      <c r="D392" s="16"/>
    </row>
    <row r="393">
      <c r="B393" s="16"/>
      <c r="C393" s="16"/>
      <c r="D393" s="16"/>
    </row>
    <row r="394">
      <c r="B394" s="16"/>
      <c r="C394" s="16"/>
      <c r="D394" s="16"/>
    </row>
    <row r="395">
      <c r="B395" s="16"/>
      <c r="C395" s="16"/>
      <c r="D395" s="16"/>
    </row>
    <row r="396">
      <c r="B396" s="16"/>
      <c r="C396" s="16"/>
      <c r="D396" s="16"/>
    </row>
    <row r="397">
      <c r="B397" s="16"/>
      <c r="C397" s="16"/>
      <c r="D397" s="16"/>
    </row>
    <row r="398">
      <c r="B398" s="16"/>
      <c r="C398" s="16"/>
      <c r="D398" s="16"/>
    </row>
    <row r="399">
      <c r="B399" s="16"/>
      <c r="C399" s="16"/>
      <c r="D399" s="16"/>
    </row>
    <row r="400">
      <c r="B400" s="16"/>
      <c r="C400" s="16"/>
      <c r="D400" s="16"/>
    </row>
    <row r="401">
      <c r="B401" s="16"/>
      <c r="C401" s="16"/>
      <c r="D401" s="16"/>
    </row>
    <row r="402">
      <c r="B402" s="16"/>
      <c r="C402" s="16"/>
      <c r="D402" s="16"/>
    </row>
    <row r="403">
      <c r="B403" s="16"/>
      <c r="C403" s="16"/>
      <c r="D403" s="16"/>
    </row>
    <row r="404">
      <c r="B404" s="16"/>
      <c r="C404" s="16"/>
      <c r="D404" s="16"/>
    </row>
    <row r="405">
      <c r="B405" s="16"/>
      <c r="C405" s="16"/>
      <c r="D405" s="16"/>
    </row>
    <row r="406">
      <c r="B406" s="16"/>
      <c r="C406" s="16"/>
      <c r="D406" s="16"/>
    </row>
    <row r="407">
      <c r="B407" s="16"/>
      <c r="C407" s="16"/>
      <c r="D407" s="16"/>
    </row>
    <row r="408">
      <c r="B408" s="16"/>
      <c r="C408" s="16"/>
      <c r="D408" s="16"/>
    </row>
    <row r="409">
      <c r="B409" s="16"/>
      <c r="C409" s="16"/>
      <c r="D409" s="16"/>
    </row>
    <row r="410">
      <c r="B410" s="16"/>
      <c r="C410" s="16"/>
      <c r="D410" s="16"/>
    </row>
    <row r="411">
      <c r="B411" s="16"/>
      <c r="C411" s="16"/>
      <c r="D411" s="16"/>
    </row>
    <row r="412">
      <c r="B412" s="16"/>
      <c r="C412" s="16"/>
      <c r="D412" s="16"/>
    </row>
    <row r="413">
      <c r="B413" s="16"/>
      <c r="C413" s="16"/>
      <c r="D413" s="16"/>
    </row>
    <row r="414">
      <c r="B414" s="16"/>
      <c r="C414" s="16"/>
      <c r="D414" s="16"/>
    </row>
    <row r="415">
      <c r="B415" s="16"/>
      <c r="C415" s="16"/>
      <c r="D415" s="16"/>
    </row>
    <row r="416">
      <c r="B416" s="16"/>
      <c r="C416" s="16"/>
      <c r="D416" s="16"/>
    </row>
    <row r="417">
      <c r="B417" s="16"/>
      <c r="C417" s="16"/>
      <c r="D417" s="16"/>
    </row>
    <row r="418">
      <c r="B418" s="16"/>
      <c r="C418" s="16"/>
      <c r="D418" s="16"/>
    </row>
    <row r="419">
      <c r="B419" s="16"/>
      <c r="C419" s="16"/>
      <c r="D419" s="16"/>
    </row>
    <row r="420">
      <c r="B420" s="16"/>
      <c r="C420" s="16"/>
      <c r="D420" s="16"/>
    </row>
    <row r="421">
      <c r="B421" s="16"/>
      <c r="C421" s="16"/>
      <c r="D421" s="16"/>
    </row>
    <row r="422">
      <c r="B422" s="16"/>
      <c r="C422" s="16"/>
      <c r="D422" s="16"/>
    </row>
    <row r="423">
      <c r="B423" s="16"/>
      <c r="C423" s="16"/>
      <c r="D423" s="16"/>
    </row>
    <row r="424">
      <c r="B424" s="16"/>
      <c r="C424" s="16"/>
      <c r="D424" s="16"/>
    </row>
    <row r="425">
      <c r="B425" s="16"/>
      <c r="C425" s="16"/>
      <c r="D425" s="16"/>
    </row>
    <row r="426">
      <c r="B426" s="16"/>
      <c r="C426" s="16"/>
      <c r="D426" s="16"/>
    </row>
    <row r="427">
      <c r="B427" s="16"/>
      <c r="C427" s="16"/>
      <c r="D427" s="16"/>
    </row>
    <row r="428">
      <c r="B428" s="16"/>
      <c r="C428" s="16"/>
      <c r="D428" s="16"/>
    </row>
    <row r="429">
      <c r="B429" s="16"/>
      <c r="C429" s="16"/>
      <c r="D429" s="16"/>
    </row>
    <row r="430">
      <c r="B430" s="16"/>
      <c r="C430" s="16"/>
      <c r="D430" s="16"/>
    </row>
    <row r="431">
      <c r="B431" s="16"/>
      <c r="C431" s="16"/>
      <c r="D431" s="16"/>
    </row>
    <row r="432">
      <c r="B432" s="16"/>
      <c r="C432" s="16"/>
      <c r="D432" s="16"/>
    </row>
    <row r="433">
      <c r="B433" s="16"/>
      <c r="C433" s="16"/>
      <c r="D433" s="16"/>
    </row>
    <row r="434">
      <c r="B434" s="16"/>
      <c r="C434" s="16"/>
      <c r="D434" s="16"/>
    </row>
    <row r="435">
      <c r="B435" s="16"/>
      <c r="C435" s="16"/>
      <c r="D435" s="16"/>
    </row>
    <row r="436">
      <c r="B436" s="16"/>
      <c r="C436" s="16"/>
      <c r="D436" s="16"/>
    </row>
    <row r="437">
      <c r="B437" s="16"/>
      <c r="C437" s="16"/>
      <c r="D437" s="16"/>
    </row>
    <row r="438">
      <c r="B438" s="16"/>
      <c r="C438" s="16"/>
      <c r="D438" s="16"/>
    </row>
    <row r="439">
      <c r="B439" s="16"/>
      <c r="C439" s="16"/>
      <c r="D439" s="16"/>
    </row>
    <row r="440">
      <c r="B440" s="16"/>
      <c r="C440" s="16"/>
      <c r="D440" s="16"/>
    </row>
    <row r="441">
      <c r="B441" s="16"/>
      <c r="C441" s="16"/>
      <c r="D441" s="16"/>
    </row>
    <row r="442">
      <c r="B442" s="16"/>
      <c r="C442" s="16"/>
      <c r="D442" s="16"/>
    </row>
    <row r="443">
      <c r="B443" s="16"/>
      <c r="C443" s="16"/>
      <c r="D443" s="16"/>
    </row>
    <row r="444">
      <c r="B444" s="16"/>
      <c r="C444" s="16"/>
      <c r="D444" s="16"/>
    </row>
    <row r="445">
      <c r="B445" s="16"/>
      <c r="C445" s="16"/>
      <c r="D445" s="16"/>
    </row>
    <row r="446">
      <c r="B446" s="16"/>
      <c r="C446" s="16"/>
      <c r="D446" s="16"/>
    </row>
    <row r="447">
      <c r="B447" s="16"/>
      <c r="C447" s="16"/>
      <c r="D447" s="16"/>
    </row>
    <row r="448">
      <c r="B448" s="16"/>
      <c r="C448" s="16"/>
      <c r="D448" s="16"/>
    </row>
    <row r="449">
      <c r="B449" s="16"/>
      <c r="C449" s="16"/>
      <c r="D449" s="16"/>
    </row>
    <row r="450">
      <c r="B450" s="16"/>
      <c r="C450" s="16"/>
      <c r="D450" s="16"/>
    </row>
    <row r="451">
      <c r="B451" s="16"/>
      <c r="C451" s="16"/>
      <c r="D451" s="16"/>
    </row>
    <row r="452">
      <c r="B452" s="16"/>
      <c r="C452" s="16"/>
      <c r="D452" s="16"/>
    </row>
    <row r="453">
      <c r="B453" s="16"/>
      <c r="C453" s="16"/>
      <c r="D453" s="16"/>
    </row>
    <row r="454">
      <c r="B454" s="16"/>
      <c r="C454" s="16"/>
      <c r="D454" s="16"/>
    </row>
    <row r="455">
      <c r="B455" s="16"/>
      <c r="C455" s="16"/>
      <c r="D455" s="16"/>
    </row>
    <row r="456">
      <c r="B456" s="16"/>
      <c r="C456" s="16"/>
      <c r="D456" s="16"/>
    </row>
    <row r="457">
      <c r="B457" s="16"/>
      <c r="C457" s="16"/>
      <c r="D457" s="16"/>
    </row>
    <row r="458">
      <c r="B458" s="16"/>
      <c r="C458" s="16"/>
      <c r="D458" s="16"/>
    </row>
    <row r="459">
      <c r="B459" s="16"/>
      <c r="C459" s="16"/>
      <c r="D459" s="16"/>
    </row>
    <row r="460">
      <c r="B460" s="16"/>
      <c r="C460" s="16"/>
      <c r="D460" s="16"/>
    </row>
    <row r="461">
      <c r="B461" s="16"/>
      <c r="C461" s="16"/>
      <c r="D461" s="16"/>
    </row>
    <row r="462">
      <c r="B462" s="16"/>
      <c r="C462" s="16"/>
      <c r="D462" s="16"/>
    </row>
    <row r="463">
      <c r="B463" s="16"/>
      <c r="C463" s="16"/>
      <c r="D463" s="16"/>
    </row>
    <row r="464">
      <c r="B464" s="16"/>
      <c r="C464" s="16"/>
      <c r="D464" s="16"/>
    </row>
    <row r="465">
      <c r="B465" s="16"/>
      <c r="C465" s="16"/>
      <c r="D465" s="16"/>
    </row>
    <row r="466">
      <c r="B466" s="16"/>
      <c r="C466" s="16"/>
      <c r="D466" s="16"/>
    </row>
    <row r="467">
      <c r="B467" s="16"/>
      <c r="C467" s="16"/>
      <c r="D467" s="16"/>
    </row>
    <row r="468">
      <c r="B468" s="16"/>
      <c r="C468" s="16"/>
      <c r="D468" s="16"/>
    </row>
    <row r="469">
      <c r="B469" s="16"/>
      <c r="C469" s="16"/>
      <c r="D469" s="16"/>
    </row>
    <row r="470">
      <c r="B470" s="16"/>
      <c r="C470" s="16"/>
      <c r="D470" s="16"/>
    </row>
    <row r="471">
      <c r="B471" s="16"/>
      <c r="C471" s="16"/>
      <c r="D471" s="16"/>
    </row>
    <row r="472">
      <c r="B472" s="16"/>
      <c r="C472" s="16"/>
      <c r="D472" s="16"/>
    </row>
    <row r="473">
      <c r="B473" s="16"/>
      <c r="C473" s="16"/>
      <c r="D473" s="16"/>
    </row>
    <row r="474">
      <c r="B474" s="16"/>
      <c r="C474" s="16"/>
      <c r="D474" s="16"/>
    </row>
    <row r="475">
      <c r="B475" s="16"/>
      <c r="C475" s="16"/>
      <c r="D475" s="16"/>
    </row>
    <row r="476">
      <c r="B476" s="16"/>
      <c r="C476" s="16"/>
      <c r="D476" s="16"/>
    </row>
    <row r="477">
      <c r="B477" s="16"/>
      <c r="C477" s="16"/>
      <c r="D477" s="16"/>
    </row>
    <row r="478">
      <c r="B478" s="16"/>
      <c r="C478" s="16"/>
      <c r="D478" s="16"/>
    </row>
    <row r="479">
      <c r="B479" s="16"/>
      <c r="C479" s="16"/>
      <c r="D479" s="16"/>
    </row>
    <row r="480">
      <c r="B480" s="16"/>
      <c r="C480" s="16"/>
      <c r="D480" s="16"/>
    </row>
    <row r="481">
      <c r="B481" s="16"/>
      <c r="C481" s="16"/>
      <c r="D481" s="16"/>
    </row>
    <row r="482">
      <c r="B482" s="16"/>
      <c r="C482" s="16"/>
      <c r="D482" s="16"/>
    </row>
    <row r="483">
      <c r="B483" s="16"/>
      <c r="C483" s="16"/>
      <c r="D483" s="16"/>
    </row>
    <row r="484">
      <c r="B484" s="16"/>
      <c r="C484" s="16"/>
      <c r="D484" s="16"/>
    </row>
    <row r="485">
      <c r="B485" s="16"/>
      <c r="C485" s="16"/>
      <c r="D485" s="16"/>
    </row>
    <row r="486">
      <c r="B486" s="16"/>
      <c r="C486" s="16"/>
      <c r="D486" s="16"/>
    </row>
    <row r="487">
      <c r="B487" s="16"/>
      <c r="C487" s="16"/>
      <c r="D487" s="16"/>
    </row>
    <row r="488">
      <c r="B488" s="16"/>
      <c r="C488" s="16"/>
      <c r="D488" s="16"/>
    </row>
    <row r="489">
      <c r="B489" s="16"/>
      <c r="C489" s="16"/>
      <c r="D489" s="16"/>
    </row>
    <row r="490">
      <c r="B490" s="16"/>
      <c r="C490" s="16"/>
      <c r="D490" s="16"/>
    </row>
    <row r="491">
      <c r="B491" s="16"/>
      <c r="C491" s="16"/>
      <c r="D491" s="16"/>
    </row>
    <row r="492">
      <c r="B492" s="16"/>
      <c r="C492" s="16"/>
      <c r="D492" s="16"/>
    </row>
    <row r="493">
      <c r="B493" s="16"/>
      <c r="C493" s="16"/>
      <c r="D493" s="16"/>
    </row>
    <row r="494">
      <c r="B494" s="16"/>
      <c r="C494" s="16"/>
      <c r="D494" s="16"/>
    </row>
    <row r="495">
      <c r="B495" s="16"/>
      <c r="C495" s="16"/>
      <c r="D495" s="16"/>
    </row>
    <row r="496">
      <c r="B496" s="16"/>
      <c r="C496" s="16"/>
      <c r="D496" s="16"/>
    </row>
    <row r="497">
      <c r="B497" s="16"/>
      <c r="C497" s="16"/>
      <c r="D497" s="16"/>
    </row>
    <row r="498">
      <c r="B498" s="16"/>
      <c r="C498" s="16"/>
      <c r="D498" s="16"/>
    </row>
    <row r="499">
      <c r="B499" s="16"/>
      <c r="C499" s="16"/>
      <c r="D499" s="16"/>
    </row>
    <row r="500">
      <c r="B500" s="16"/>
      <c r="C500" s="16"/>
      <c r="D500" s="16"/>
    </row>
    <row r="501">
      <c r="B501" s="16"/>
      <c r="C501" s="16"/>
      <c r="D501" s="16"/>
    </row>
    <row r="502">
      <c r="B502" s="16"/>
      <c r="C502" s="16"/>
      <c r="D502" s="16"/>
    </row>
    <row r="503">
      <c r="B503" s="16"/>
      <c r="C503" s="16"/>
      <c r="D503" s="16"/>
    </row>
    <row r="504">
      <c r="B504" s="16"/>
      <c r="C504" s="16"/>
      <c r="D504" s="16"/>
    </row>
    <row r="505">
      <c r="B505" s="16"/>
      <c r="C505" s="16"/>
      <c r="D505" s="16"/>
    </row>
    <row r="506">
      <c r="B506" s="16"/>
      <c r="C506" s="16"/>
      <c r="D506" s="16"/>
    </row>
    <row r="507">
      <c r="B507" s="16"/>
      <c r="C507" s="16"/>
      <c r="D507" s="16"/>
    </row>
    <row r="508">
      <c r="B508" s="16"/>
      <c r="C508" s="16"/>
      <c r="D508" s="16"/>
    </row>
    <row r="509">
      <c r="B509" s="16"/>
      <c r="C509" s="16"/>
      <c r="D509" s="16"/>
    </row>
    <row r="510">
      <c r="B510" s="16"/>
      <c r="C510" s="16"/>
      <c r="D510" s="16"/>
    </row>
    <row r="511">
      <c r="B511" s="16"/>
      <c r="C511" s="16"/>
      <c r="D511" s="16"/>
    </row>
    <row r="512">
      <c r="B512" s="16"/>
      <c r="C512" s="16"/>
      <c r="D512" s="16"/>
    </row>
    <row r="513">
      <c r="B513" s="16"/>
      <c r="C513" s="16"/>
      <c r="D513" s="16"/>
    </row>
    <row r="514">
      <c r="B514" s="16"/>
      <c r="C514" s="16"/>
      <c r="D514" s="16"/>
    </row>
    <row r="515">
      <c r="B515" s="16"/>
      <c r="C515" s="16"/>
      <c r="D515" s="16"/>
    </row>
    <row r="516">
      <c r="B516" s="16"/>
      <c r="C516" s="16"/>
      <c r="D516" s="16"/>
    </row>
    <row r="517">
      <c r="B517" s="16"/>
      <c r="C517" s="16"/>
      <c r="D517" s="16"/>
    </row>
    <row r="518">
      <c r="B518" s="16"/>
      <c r="C518" s="16"/>
      <c r="D518" s="16"/>
    </row>
    <row r="519">
      <c r="B519" s="16"/>
      <c r="C519" s="16"/>
      <c r="D519" s="16"/>
    </row>
    <row r="520">
      <c r="B520" s="16"/>
      <c r="C520" s="16"/>
      <c r="D520" s="16"/>
    </row>
    <row r="521">
      <c r="B521" s="16"/>
      <c r="C521" s="16"/>
      <c r="D521" s="16"/>
    </row>
    <row r="522">
      <c r="B522" s="16"/>
      <c r="C522" s="16"/>
      <c r="D522" s="16"/>
    </row>
    <row r="523">
      <c r="B523" s="16"/>
      <c r="C523" s="16"/>
      <c r="D523" s="16"/>
    </row>
    <row r="524">
      <c r="B524" s="16"/>
      <c r="C524" s="16"/>
      <c r="D524" s="16"/>
    </row>
    <row r="525">
      <c r="B525" s="16"/>
      <c r="C525" s="16"/>
      <c r="D525" s="16"/>
    </row>
    <row r="526">
      <c r="B526" s="16"/>
      <c r="C526" s="16"/>
      <c r="D526" s="16"/>
    </row>
    <row r="527">
      <c r="B527" s="16"/>
      <c r="C527" s="16"/>
      <c r="D527" s="16"/>
    </row>
    <row r="528">
      <c r="B528" s="16"/>
      <c r="C528" s="16"/>
      <c r="D528" s="16"/>
    </row>
    <row r="529">
      <c r="B529" s="16"/>
      <c r="C529" s="16"/>
      <c r="D529" s="16"/>
    </row>
    <row r="530">
      <c r="B530" s="16"/>
      <c r="C530" s="16"/>
      <c r="D530" s="16"/>
    </row>
    <row r="531">
      <c r="B531" s="16"/>
      <c r="C531" s="16"/>
      <c r="D531" s="16"/>
    </row>
    <row r="532">
      <c r="B532" s="16"/>
      <c r="C532" s="16"/>
      <c r="D532" s="16"/>
    </row>
    <row r="533">
      <c r="B533" s="16"/>
      <c r="C533" s="16"/>
      <c r="D533" s="16"/>
    </row>
    <row r="534">
      <c r="B534" s="16"/>
      <c r="C534" s="16"/>
      <c r="D534" s="16"/>
    </row>
    <row r="535">
      <c r="B535" s="16"/>
      <c r="C535" s="16"/>
      <c r="D535" s="16"/>
    </row>
    <row r="536">
      <c r="B536" s="16"/>
      <c r="C536" s="16"/>
      <c r="D536" s="16"/>
    </row>
    <row r="537">
      <c r="B537" s="16"/>
      <c r="C537" s="16"/>
      <c r="D537" s="16"/>
    </row>
    <row r="538">
      <c r="B538" s="16"/>
      <c r="C538" s="16"/>
      <c r="D538" s="16"/>
    </row>
    <row r="539">
      <c r="B539" s="16"/>
      <c r="C539" s="16"/>
      <c r="D539" s="16"/>
    </row>
    <row r="540">
      <c r="B540" s="16"/>
      <c r="C540" s="16"/>
      <c r="D540" s="16"/>
    </row>
    <row r="541">
      <c r="B541" s="16"/>
      <c r="C541" s="16"/>
      <c r="D541" s="16"/>
    </row>
    <row r="542">
      <c r="B542" s="16"/>
      <c r="C542" s="16"/>
      <c r="D542" s="16"/>
    </row>
    <row r="543">
      <c r="B543" s="16"/>
      <c r="C543" s="16"/>
      <c r="D543" s="16"/>
    </row>
    <row r="544">
      <c r="B544" s="16"/>
      <c r="C544" s="16"/>
      <c r="D544" s="16"/>
    </row>
    <row r="545">
      <c r="B545" s="16"/>
      <c r="C545" s="16"/>
      <c r="D545" s="16"/>
    </row>
    <row r="546">
      <c r="B546" s="16"/>
      <c r="C546" s="16"/>
      <c r="D546" s="16"/>
    </row>
    <row r="547">
      <c r="B547" s="16"/>
      <c r="C547" s="16"/>
      <c r="D547" s="16"/>
    </row>
    <row r="548">
      <c r="B548" s="16"/>
      <c r="C548" s="16"/>
      <c r="D548" s="16"/>
    </row>
    <row r="549">
      <c r="B549" s="16"/>
      <c r="C549" s="16"/>
      <c r="D549" s="16"/>
    </row>
    <row r="550">
      <c r="B550" s="16"/>
      <c r="C550" s="16"/>
      <c r="D550" s="16"/>
    </row>
    <row r="551">
      <c r="B551" s="16"/>
      <c r="C551" s="16"/>
      <c r="D551" s="16"/>
    </row>
    <row r="552">
      <c r="B552" s="16"/>
      <c r="C552" s="16"/>
      <c r="D552" s="16"/>
    </row>
    <row r="553">
      <c r="B553" s="16"/>
      <c r="C553" s="16"/>
      <c r="D553" s="16"/>
    </row>
    <row r="554">
      <c r="B554" s="16"/>
      <c r="C554" s="16"/>
      <c r="D554" s="16"/>
    </row>
    <row r="555">
      <c r="B555" s="16"/>
      <c r="C555" s="16"/>
      <c r="D555" s="16"/>
    </row>
    <row r="556">
      <c r="B556" s="16"/>
      <c r="C556" s="16"/>
      <c r="D556" s="16"/>
    </row>
    <row r="557">
      <c r="B557" s="16"/>
      <c r="C557" s="16"/>
      <c r="D557" s="16"/>
    </row>
    <row r="558">
      <c r="B558" s="16"/>
      <c r="C558" s="16"/>
      <c r="D558" s="16"/>
    </row>
    <row r="559">
      <c r="B559" s="16"/>
      <c r="C559" s="16"/>
      <c r="D559" s="16"/>
    </row>
    <row r="560">
      <c r="B560" s="16"/>
      <c r="C560" s="16"/>
      <c r="D560" s="16"/>
    </row>
    <row r="561">
      <c r="B561" s="16"/>
      <c r="C561" s="16"/>
      <c r="D561" s="16"/>
    </row>
    <row r="562">
      <c r="B562" s="16"/>
      <c r="C562" s="16"/>
      <c r="D562" s="16"/>
    </row>
    <row r="563">
      <c r="B563" s="16"/>
      <c r="C563" s="16"/>
      <c r="D563" s="16"/>
    </row>
    <row r="564">
      <c r="B564" s="16"/>
      <c r="C564" s="16"/>
      <c r="D564" s="16"/>
    </row>
    <row r="565">
      <c r="B565" s="16"/>
      <c r="C565" s="16"/>
      <c r="D565" s="16"/>
    </row>
    <row r="566">
      <c r="B566" s="16"/>
      <c r="C566" s="16"/>
      <c r="D566" s="16"/>
    </row>
    <row r="567">
      <c r="B567" s="16"/>
      <c r="C567" s="16"/>
      <c r="D567" s="16"/>
    </row>
    <row r="568">
      <c r="B568" s="16"/>
      <c r="C568" s="16"/>
      <c r="D568" s="16"/>
    </row>
    <row r="569">
      <c r="B569" s="16"/>
      <c r="C569" s="16"/>
      <c r="D569" s="16"/>
    </row>
    <row r="570">
      <c r="B570" s="16"/>
      <c r="C570" s="16"/>
      <c r="D570" s="16"/>
    </row>
    <row r="571">
      <c r="B571" s="16"/>
      <c r="C571" s="16"/>
      <c r="D571" s="16"/>
    </row>
    <row r="572">
      <c r="B572" s="16"/>
      <c r="C572" s="16"/>
      <c r="D572" s="16"/>
    </row>
    <row r="573">
      <c r="B573" s="16"/>
      <c r="C573" s="16"/>
      <c r="D573" s="16"/>
    </row>
    <row r="574">
      <c r="B574" s="16"/>
      <c r="C574" s="16"/>
      <c r="D574" s="16"/>
    </row>
    <row r="575">
      <c r="B575" s="16"/>
      <c r="C575" s="16"/>
      <c r="D575" s="16"/>
    </row>
    <row r="576">
      <c r="B576" s="16"/>
      <c r="C576" s="16"/>
      <c r="D576" s="16"/>
    </row>
    <row r="577">
      <c r="B577" s="16"/>
      <c r="C577" s="16"/>
      <c r="D577" s="16"/>
    </row>
    <row r="578">
      <c r="B578" s="16"/>
      <c r="C578" s="16"/>
      <c r="D578" s="16"/>
    </row>
    <row r="579">
      <c r="B579" s="16"/>
      <c r="C579" s="16"/>
      <c r="D579" s="16"/>
    </row>
    <row r="580">
      <c r="B580" s="16"/>
      <c r="C580" s="16"/>
      <c r="D580" s="16"/>
    </row>
    <row r="581">
      <c r="B581" s="16"/>
      <c r="C581" s="16"/>
      <c r="D581" s="16"/>
    </row>
    <row r="582">
      <c r="B582" s="16"/>
      <c r="C582" s="16"/>
      <c r="D582" s="16"/>
    </row>
    <row r="583">
      <c r="B583" s="16"/>
      <c r="C583" s="16"/>
      <c r="D583" s="16"/>
    </row>
    <row r="584">
      <c r="B584" s="16"/>
      <c r="C584" s="16"/>
      <c r="D584" s="16"/>
    </row>
    <row r="585">
      <c r="B585" s="16"/>
      <c r="C585" s="16"/>
      <c r="D585" s="16"/>
    </row>
    <row r="586">
      <c r="B586" s="16"/>
      <c r="C586" s="16"/>
      <c r="D586" s="16"/>
    </row>
    <row r="587">
      <c r="B587" s="16"/>
      <c r="C587" s="16"/>
      <c r="D587" s="16"/>
    </row>
    <row r="588">
      <c r="B588" s="16"/>
      <c r="C588" s="16"/>
      <c r="D588" s="16"/>
    </row>
    <row r="589">
      <c r="B589" s="16"/>
      <c r="C589" s="16"/>
      <c r="D589" s="16"/>
    </row>
    <row r="590">
      <c r="B590" s="16"/>
      <c r="C590" s="16"/>
      <c r="D590" s="16"/>
    </row>
    <row r="591">
      <c r="B591" s="16"/>
      <c r="C591" s="16"/>
      <c r="D591" s="16"/>
    </row>
    <row r="592">
      <c r="B592" s="16"/>
      <c r="C592" s="16"/>
      <c r="D592" s="16"/>
    </row>
    <row r="593">
      <c r="B593" s="16"/>
      <c r="C593" s="16"/>
      <c r="D593" s="16"/>
    </row>
    <row r="594">
      <c r="B594" s="16"/>
      <c r="C594" s="16"/>
      <c r="D594" s="16"/>
    </row>
    <row r="595">
      <c r="B595" s="16"/>
      <c r="C595" s="16"/>
      <c r="D595" s="16"/>
    </row>
    <row r="596">
      <c r="B596" s="16"/>
      <c r="C596" s="16"/>
      <c r="D596" s="16"/>
    </row>
    <row r="597">
      <c r="B597" s="16"/>
      <c r="C597" s="16"/>
      <c r="D597" s="16"/>
    </row>
    <row r="598">
      <c r="B598" s="16"/>
      <c r="C598" s="16"/>
      <c r="D598" s="16"/>
    </row>
    <row r="599">
      <c r="B599" s="16"/>
      <c r="C599" s="16"/>
      <c r="D599" s="16"/>
    </row>
    <row r="600">
      <c r="B600" s="16"/>
      <c r="C600" s="16"/>
      <c r="D600" s="16"/>
    </row>
    <row r="601">
      <c r="B601" s="16"/>
      <c r="C601" s="16"/>
      <c r="D601" s="16"/>
    </row>
    <row r="602">
      <c r="B602" s="16"/>
      <c r="C602" s="16"/>
      <c r="D602" s="16"/>
    </row>
    <row r="603">
      <c r="B603" s="16"/>
      <c r="C603" s="16"/>
      <c r="D603" s="16"/>
    </row>
    <row r="604">
      <c r="B604" s="16"/>
      <c r="C604" s="16"/>
      <c r="D604" s="16"/>
    </row>
    <row r="605">
      <c r="B605" s="16"/>
      <c r="C605" s="16"/>
      <c r="D605" s="16"/>
    </row>
    <row r="606">
      <c r="B606" s="16"/>
      <c r="C606" s="16"/>
      <c r="D606" s="16"/>
    </row>
    <row r="607">
      <c r="B607" s="16"/>
      <c r="C607" s="16"/>
      <c r="D607" s="16"/>
    </row>
    <row r="608">
      <c r="B608" s="16"/>
      <c r="C608" s="16"/>
      <c r="D608" s="16"/>
    </row>
    <row r="609">
      <c r="B609" s="16"/>
      <c r="C609" s="16"/>
      <c r="D609" s="16"/>
    </row>
    <row r="610">
      <c r="B610" s="16"/>
      <c r="C610" s="16"/>
      <c r="D610" s="16"/>
    </row>
    <row r="611">
      <c r="B611" s="16"/>
      <c r="C611" s="16"/>
      <c r="D611" s="16"/>
    </row>
    <row r="612">
      <c r="B612" s="16"/>
      <c r="C612" s="16"/>
      <c r="D612" s="16"/>
    </row>
    <row r="613">
      <c r="B613" s="16"/>
      <c r="C613" s="16"/>
      <c r="D613" s="16"/>
    </row>
    <row r="614">
      <c r="B614" s="16"/>
      <c r="C614" s="16"/>
      <c r="D614" s="16"/>
    </row>
    <row r="615">
      <c r="B615" s="16"/>
      <c r="C615" s="16"/>
      <c r="D615" s="16"/>
    </row>
    <row r="616">
      <c r="B616" s="16"/>
      <c r="C616" s="16"/>
      <c r="D616" s="16"/>
    </row>
    <row r="617">
      <c r="B617" s="16"/>
      <c r="C617" s="16"/>
      <c r="D617" s="16"/>
    </row>
    <row r="618">
      <c r="B618" s="16"/>
      <c r="C618" s="16"/>
      <c r="D618" s="16"/>
    </row>
    <row r="619">
      <c r="B619" s="16"/>
      <c r="C619" s="16"/>
      <c r="D619" s="16"/>
    </row>
    <row r="620">
      <c r="B620" s="16"/>
      <c r="C620" s="16"/>
      <c r="D620" s="16"/>
    </row>
    <row r="621">
      <c r="B621" s="16"/>
      <c r="C621" s="16"/>
      <c r="D621" s="16"/>
    </row>
    <row r="622">
      <c r="B622" s="16"/>
      <c r="C622" s="16"/>
      <c r="D622" s="16"/>
    </row>
    <row r="623">
      <c r="B623" s="16"/>
      <c r="C623" s="16"/>
      <c r="D623" s="16"/>
    </row>
    <row r="624">
      <c r="B624" s="16"/>
      <c r="C624" s="16"/>
      <c r="D624" s="16"/>
    </row>
    <row r="625">
      <c r="B625" s="16"/>
      <c r="C625" s="16"/>
      <c r="D625" s="16"/>
    </row>
    <row r="626">
      <c r="B626" s="16"/>
      <c r="C626" s="16"/>
      <c r="D626" s="16"/>
    </row>
    <row r="627">
      <c r="B627" s="16"/>
      <c r="C627" s="16"/>
      <c r="D627" s="16"/>
    </row>
    <row r="628">
      <c r="B628" s="16"/>
      <c r="C628" s="16"/>
      <c r="D628" s="16"/>
    </row>
    <row r="629">
      <c r="B629" s="16"/>
      <c r="C629" s="16"/>
      <c r="D629" s="16"/>
    </row>
    <row r="630">
      <c r="B630" s="16"/>
      <c r="C630" s="16"/>
      <c r="D630" s="16"/>
    </row>
    <row r="631">
      <c r="B631" s="16"/>
      <c r="C631" s="16"/>
      <c r="D631" s="16"/>
    </row>
    <row r="632">
      <c r="B632" s="16"/>
      <c r="C632" s="16"/>
      <c r="D632" s="16"/>
    </row>
    <row r="633">
      <c r="B633" s="16"/>
      <c r="C633" s="16"/>
      <c r="D633" s="16"/>
    </row>
    <row r="634">
      <c r="B634" s="16"/>
      <c r="C634" s="16"/>
      <c r="D634" s="16"/>
    </row>
    <row r="635">
      <c r="B635" s="16"/>
      <c r="C635" s="16"/>
      <c r="D635" s="16"/>
    </row>
    <row r="636">
      <c r="B636" s="16"/>
      <c r="C636" s="16"/>
      <c r="D636" s="16"/>
    </row>
    <row r="637">
      <c r="B637" s="16"/>
      <c r="C637" s="16"/>
      <c r="D637" s="16"/>
    </row>
    <row r="638">
      <c r="B638" s="16"/>
      <c r="C638" s="16"/>
      <c r="D638" s="16"/>
    </row>
    <row r="639">
      <c r="B639" s="16"/>
      <c r="C639" s="16"/>
      <c r="D639" s="16"/>
    </row>
    <row r="640">
      <c r="B640" s="16"/>
      <c r="C640" s="16"/>
      <c r="D640" s="16"/>
    </row>
    <row r="641">
      <c r="B641" s="16"/>
      <c r="C641" s="16"/>
      <c r="D641" s="16"/>
    </row>
    <row r="642">
      <c r="B642" s="16"/>
      <c r="C642" s="16"/>
      <c r="D642" s="16"/>
    </row>
    <row r="643">
      <c r="B643" s="16"/>
      <c r="C643" s="16"/>
      <c r="D643" s="16"/>
    </row>
    <row r="644">
      <c r="B644" s="16"/>
      <c r="C644" s="16"/>
      <c r="D644" s="16"/>
    </row>
    <row r="645">
      <c r="B645" s="16"/>
      <c r="C645" s="16"/>
      <c r="D645" s="16"/>
    </row>
    <row r="646">
      <c r="B646" s="16"/>
      <c r="C646" s="16"/>
      <c r="D646" s="16"/>
    </row>
    <row r="647">
      <c r="B647" s="16"/>
      <c r="C647" s="16"/>
      <c r="D647" s="16"/>
    </row>
    <row r="648">
      <c r="B648" s="16"/>
      <c r="C648" s="16"/>
      <c r="D648" s="16"/>
    </row>
    <row r="649">
      <c r="B649" s="16"/>
      <c r="C649" s="16"/>
      <c r="D649" s="16"/>
    </row>
    <row r="650">
      <c r="B650" s="16"/>
      <c r="C650" s="16"/>
      <c r="D650" s="16"/>
    </row>
    <row r="651">
      <c r="B651" s="16"/>
      <c r="C651" s="16"/>
      <c r="D651" s="16"/>
    </row>
    <row r="652">
      <c r="B652" s="16"/>
      <c r="C652" s="16"/>
      <c r="D652" s="16"/>
    </row>
    <row r="653">
      <c r="B653" s="16"/>
      <c r="C653" s="16"/>
      <c r="D653" s="16"/>
    </row>
    <row r="654">
      <c r="B654" s="16"/>
      <c r="C654" s="16"/>
      <c r="D654" s="16"/>
    </row>
    <row r="655">
      <c r="B655" s="16"/>
      <c r="C655" s="16"/>
      <c r="D655" s="16"/>
    </row>
    <row r="656">
      <c r="B656" s="16"/>
      <c r="C656" s="16"/>
      <c r="D656" s="16"/>
    </row>
    <row r="657">
      <c r="B657" s="16"/>
      <c r="C657" s="16"/>
      <c r="D657" s="16"/>
    </row>
    <row r="658">
      <c r="B658" s="16"/>
      <c r="C658" s="16"/>
      <c r="D658" s="16"/>
    </row>
    <row r="659">
      <c r="B659" s="16"/>
      <c r="C659" s="16"/>
      <c r="D659" s="16"/>
    </row>
    <row r="660">
      <c r="B660" s="16"/>
      <c r="C660" s="16"/>
      <c r="D660" s="16"/>
    </row>
    <row r="661">
      <c r="B661" s="16"/>
      <c r="C661" s="16"/>
      <c r="D661" s="16"/>
    </row>
    <row r="662">
      <c r="B662" s="16"/>
      <c r="C662" s="16"/>
      <c r="D662" s="16"/>
    </row>
    <row r="663">
      <c r="B663" s="16"/>
      <c r="C663" s="16"/>
      <c r="D663" s="16"/>
    </row>
    <row r="664">
      <c r="B664" s="16"/>
      <c r="C664" s="16"/>
      <c r="D664" s="16"/>
    </row>
    <row r="665">
      <c r="B665" s="16"/>
      <c r="C665" s="16"/>
      <c r="D665" s="16"/>
    </row>
    <row r="666">
      <c r="B666" s="16"/>
      <c r="C666" s="16"/>
      <c r="D666" s="16"/>
    </row>
    <row r="667">
      <c r="B667" s="16"/>
      <c r="C667" s="16"/>
      <c r="D667" s="16"/>
    </row>
    <row r="668">
      <c r="B668" s="16"/>
      <c r="C668" s="16"/>
      <c r="D668" s="16"/>
    </row>
    <row r="669">
      <c r="B669" s="16"/>
      <c r="C669" s="16"/>
      <c r="D669" s="16"/>
    </row>
    <row r="670">
      <c r="B670" s="16"/>
      <c r="C670" s="16"/>
      <c r="D670" s="16"/>
    </row>
    <row r="671">
      <c r="B671" s="16"/>
      <c r="C671" s="16"/>
      <c r="D671" s="16"/>
    </row>
    <row r="672">
      <c r="B672" s="16"/>
      <c r="C672" s="16"/>
      <c r="D672" s="16"/>
    </row>
    <row r="673">
      <c r="B673" s="16"/>
      <c r="C673" s="16"/>
      <c r="D673" s="16"/>
    </row>
    <row r="674">
      <c r="B674" s="16"/>
      <c r="C674" s="16"/>
      <c r="D674" s="16"/>
    </row>
    <row r="675">
      <c r="B675" s="16"/>
      <c r="C675" s="16"/>
      <c r="D675" s="16"/>
    </row>
    <row r="676">
      <c r="B676" s="16"/>
      <c r="C676" s="16"/>
      <c r="D676" s="16"/>
    </row>
    <row r="677">
      <c r="B677" s="16"/>
      <c r="C677" s="16"/>
      <c r="D677" s="16"/>
    </row>
    <row r="678">
      <c r="B678" s="16"/>
      <c r="C678" s="16"/>
      <c r="D678" s="16"/>
    </row>
    <row r="679">
      <c r="B679" s="16"/>
      <c r="C679" s="16"/>
      <c r="D679" s="16"/>
    </row>
    <row r="680">
      <c r="B680" s="16"/>
      <c r="C680" s="16"/>
      <c r="D680" s="16"/>
    </row>
    <row r="681">
      <c r="B681" s="16"/>
      <c r="C681" s="16"/>
      <c r="D681" s="16"/>
    </row>
    <row r="682">
      <c r="B682" s="16"/>
      <c r="C682" s="16"/>
      <c r="D682" s="16"/>
    </row>
    <row r="683">
      <c r="B683" s="16"/>
      <c r="C683" s="16"/>
      <c r="D683" s="16"/>
    </row>
    <row r="684">
      <c r="B684" s="16"/>
      <c r="C684" s="16"/>
      <c r="D684" s="16"/>
    </row>
    <row r="685">
      <c r="B685" s="16"/>
      <c r="C685" s="16"/>
      <c r="D685" s="16"/>
    </row>
    <row r="686">
      <c r="B686" s="16"/>
      <c r="C686" s="16"/>
      <c r="D686" s="16"/>
    </row>
    <row r="687">
      <c r="B687" s="16"/>
      <c r="C687" s="16"/>
      <c r="D687" s="16"/>
    </row>
    <row r="688">
      <c r="B688" s="16"/>
      <c r="C688" s="16"/>
      <c r="D688" s="16"/>
    </row>
    <row r="689">
      <c r="B689" s="16"/>
      <c r="C689" s="16"/>
      <c r="D689" s="16"/>
    </row>
    <row r="690">
      <c r="B690" s="16"/>
      <c r="C690" s="16"/>
      <c r="D690" s="16"/>
    </row>
    <row r="691">
      <c r="B691" s="16"/>
      <c r="C691" s="16"/>
      <c r="D691" s="16"/>
    </row>
    <row r="692">
      <c r="B692" s="16"/>
      <c r="C692" s="16"/>
      <c r="D692" s="16"/>
    </row>
    <row r="693">
      <c r="B693" s="16"/>
      <c r="C693" s="16"/>
      <c r="D693" s="16"/>
    </row>
    <row r="694">
      <c r="B694" s="16"/>
      <c r="C694" s="16"/>
      <c r="D694" s="16"/>
    </row>
    <row r="695">
      <c r="B695" s="16"/>
      <c r="C695" s="16"/>
      <c r="D695" s="16"/>
    </row>
    <row r="696">
      <c r="B696" s="16"/>
      <c r="C696" s="16"/>
      <c r="D696" s="16"/>
    </row>
    <row r="697">
      <c r="B697" s="16"/>
      <c r="C697" s="16"/>
      <c r="D697" s="16"/>
    </row>
    <row r="698">
      <c r="B698" s="16"/>
      <c r="C698" s="16"/>
      <c r="D698" s="16"/>
    </row>
    <row r="699">
      <c r="B699" s="16"/>
      <c r="C699" s="16"/>
      <c r="D699" s="16"/>
    </row>
    <row r="700">
      <c r="B700" s="16"/>
      <c r="C700" s="16"/>
      <c r="D700" s="16"/>
    </row>
    <row r="701">
      <c r="B701" s="16"/>
      <c r="C701" s="16"/>
      <c r="D701" s="16"/>
    </row>
    <row r="702">
      <c r="B702" s="16"/>
      <c r="C702" s="16"/>
      <c r="D702" s="16"/>
    </row>
    <row r="703">
      <c r="B703" s="16"/>
      <c r="C703" s="16"/>
      <c r="D703" s="16"/>
    </row>
    <row r="704">
      <c r="B704" s="16"/>
      <c r="C704" s="16"/>
      <c r="D704" s="16"/>
    </row>
    <row r="705">
      <c r="B705" s="16"/>
      <c r="C705" s="16"/>
      <c r="D705" s="16"/>
    </row>
    <row r="706">
      <c r="B706" s="16"/>
      <c r="C706" s="16"/>
      <c r="D706" s="16"/>
    </row>
    <row r="707">
      <c r="B707" s="16"/>
      <c r="C707" s="16"/>
      <c r="D707" s="16"/>
    </row>
    <row r="708">
      <c r="B708" s="16"/>
      <c r="C708" s="16"/>
      <c r="D708" s="16"/>
    </row>
    <row r="709">
      <c r="B709" s="16"/>
      <c r="C709" s="16"/>
      <c r="D709" s="16"/>
    </row>
    <row r="710">
      <c r="B710" s="16"/>
      <c r="C710" s="16"/>
      <c r="D710" s="16"/>
    </row>
    <row r="711">
      <c r="B711" s="16"/>
      <c r="C711" s="16"/>
      <c r="D711" s="16"/>
    </row>
    <row r="712">
      <c r="B712" s="16"/>
      <c r="C712" s="16"/>
      <c r="D712" s="16"/>
    </row>
    <row r="713">
      <c r="B713" s="16"/>
      <c r="C713" s="16"/>
      <c r="D713" s="16"/>
    </row>
    <row r="714">
      <c r="B714" s="16"/>
      <c r="C714" s="16"/>
      <c r="D714" s="16"/>
    </row>
    <row r="715">
      <c r="B715" s="16"/>
      <c r="C715" s="16"/>
      <c r="D715" s="16"/>
    </row>
    <row r="716">
      <c r="B716" s="16"/>
      <c r="C716" s="16"/>
      <c r="D716" s="16"/>
    </row>
    <row r="717">
      <c r="B717" s="16"/>
      <c r="C717" s="16"/>
      <c r="D717" s="16"/>
    </row>
    <row r="718">
      <c r="B718" s="16"/>
      <c r="C718" s="16"/>
      <c r="D718" s="16"/>
    </row>
    <row r="719">
      <c r="B719" s="16"/>
      <c r="C719" s="16"/>
      <c r="D719" s="16"/>
    </row>
    <row r="720">
      <c r="B720" s="16"/>
      <c r="C720" s="16"/>
      <c r="D720" s="16"/>
    </row>
    <row r="721">
      <c r="B721" s="16"/>
      <c r="C721" s="16"/>
      <c r="D721" s="16"/>
    </row>
    <row r="722">
      <c r="B722" s="16"/>
      <c r="C722" s="16"/>
      <c r="D722" s="16"/>
    </row>
    <row r="723">
      <c r="B723" s="16"/>
      <c r="C723" s="16"/>
      <c r="D723" s="16"/>
    </row>
    <row r="724">
      <c r="B724" s="16"/>
      <c r="C724" s="16"/>
      <c r="D724" s="16"/>
    </row>
    <row r="725">
      <c r="B725" s="16"/>
      <c r="C725" s="16"/>
      <c r="D725" s="16"/>
    </row>
    <row r="726">
      <c r="B726" s="16"/>
      <c r="C726" s="16"/>
      <c r="D726" s="16"/>
    </row>
    <row r="727">
      <c r="B727" s="16"/>
      <c r="C727" s="16"/>
      <c r="D727" s="16"/>
    </row>
    <row r="728">
      <c r="B728" s="16"/>
      <c r="C728" s="16"/>
      <c r="D728" s="16"/>
    </row>
    <row r="729">
      <c r="B729" s="16"/>
      <c r="C729" s="16"/>
      <c r="D729" s="16"/>
    </row>
    <row r="730">
      <c r="B730" s="16"/>
      <c r="C730" s="16"/>
      <c r="D730" s="16"/>
    </row>
    <row r="731">
      <c r="B731" s="16"/>
      <c r="C731" s="16"/>
      <c r="D731" s="16"/>
    </row>
    <row r="732">
      <c r="B732" s="16"/>
      <c r="C732" s="16"/>
      <c r="D732" s="16"/>
    </row>
    <row r="733">
      <c r="B733" s="16"/>
      <c r="C733" s="16"/>
      <c r="D733" s="16"/>
    </row>
    <row r="734">
      <c r="B734" s="16"/>
      <c r="C734" s="16"/>
      <c r="D734" s="16"/>
    </row>
    <row r="735">
      <c r="B735" s="16"/>
      <c r="C735" s="16"/>
      <c r="D735" s="16"/>
    </row>
    <row r="736">
      <c r="B736" s="16"/>
      <c r="C736" s="16"/>
      <c r="D736" s="16"/>
    </row>
    <row r="737">
      <c r="B737" s="16"/>
      <c r="C737" s="16"/>
      <c r="D737" s="16"/>
    </row>
    <row r="738">
      <c r="B738" s="16"/>
      <c r="C738" s="16"/>
      <c r="D738" s="16"/>
    </row>
    <row r="739">
      <c r="B739" s="16"/>
      <c r="C739" s="16"/>
      <c r="D739" s="16"/>
    </row>
    <row r="740">
      <c r="B740" s="16"/>
      <c r="C740" s="16"/>
      <c r="D740" s="16"/>
    </row>
    <row r="741">
      <c r="B741" s="16"/>
      <c r="C741" s="16"/>
      <c r="D741" s="16"/>
    </row>
    <row r="742">
      <c r="B742" s="16"/>
      <c r="C742" s="16"/>
      <c r="D742" s="16"/>
    </row>
    <row r="743">
      <c r="B743" s="16"/>
      <c r="C743" s="16"/>
      <c r="D743" s="16"/>
    </row>
    <row r="744">
      <c r="B744" s="16"/>
      <c r="C744" s="16"/>
      <c r="D744" s="16"/>
    </row>
    <row r="745">
      <c r="B745" s="16"/>
      <c r="C745" s="16"/>
      <c r="D745" s="16"/>
    </row>
    <row r="746">
      <c r="B746" s="16"/>
      <c r="C746" s="16"/>
      <c r="D746" s="16"/>
    </row>
    <row r="747">
      <c r="B747" s="16"/>
      <c r="C747" s="16"/>
      <c r="D747" s="16"/>
    </row>
    <row r="748">
      <c r="B748" s="16"/>
      <c r="C748" s="16"/>
      <c r="D748" s="16"/>
    </row>
    <row r="749">
      <c r="B749" s="16"/>
      <c r="C749" s="16"/>
      <c r="D749" s="16"/>
    </row>
    <row r="750">
      <c r="B750" s="16"/>
      <c r="C750" s="16"/>
      <c r="D750" s="16"/>
    </row>
    <row r="751">
      <c r="B751" s="16"/>
      <c r="C751" s="16"/>
      <c r="D751" s="16"/>
    </row>
    <row r="752">
      <c r="B752" s="16"/>
      <c r="C752" s="16"/>
      <c r="D752" s="16"/>
    </row>
    <row r="753">
      <c r="B753" s="16"/>
      <c r="C753" s="16"/>
      <c r="D753" s="16"/>
    </row>
    <row r="754">
      <c r="B754" s="16"/>
      <c r="C754" s="16"/>
      <c r="D754" s="16"/>
    </row>
    <row r="755">
      <c r="B755" s="16"/>
      <c r="C755" s="16"/>
      <c r="D755" s="16"/>
    </row>
    <row r="756">
      <c r="B756" s="16"/>
      <c r="C756" s="16"/>
      <c r="D756" s="16"/>
    </row>
    <row r="757">
      <c r="B757" s="16"/>
      <c r="C757" s="16"/>
      <c r="D757" s="16"/>
    </row>
    <row r="758">
      <c r="B758" s="16"/>
      <c r="C758" s="16"/>
      <c r="D758" s="16"/>
    </row>
    <row r="759">
      <c r="B759" s="16"/>
      <c r="C759" s="16"/>
      <c r="D759" s="16"/>
    </row>
    <row r="760">
      <c r="B760" s="16"/>
      <c r="C760" s="16"/>
      <c r="D760" s="16"/>
    </row>
    <row r="761">
      <c r="B761" s="16"/>
      <c r="C761" s="16"/>
      <c r="D761" s="16"/>
    </row>
    <row r="762">
      <c r="B762" s="16"/>
      <c r="C762" s="16"/>
      <c r="D762" s="16"/>
    </row>
    <row r="763">
      <c r="B763" s="16"/>
      <c r="C763" s="16"/>
      <c r="D763" s="16"/>
    </row>
    <row r="764">
      <c r="B764" s="16"/>
      <c r="C764" s="16"/>
      <c r="D764" s="16"/>
    </row>
    <row r="765">
      <c r="B765" s="16"/>
      <c r="C765" s="16"/>
      <c r="D765" s="16"/>
    </row>
    <row r="766">
      <c r="B766" s="16"/>
      <c r="C766" s="16"/>
      <c r="D766" s="16"/>
    </row>
    <row r="767">
      <c r="B767" s="16"/>
      <c r="C767" s="16"/>
      <c r="D767" s="16"/>
    </row>
    <row r="768">
      <c r="B768" s="16"/>
      <c r="C768" s="16"/>
      <c r="D768" s="16"/>
    </row>
    <row r="769">
      <c r="B769" s="16"/>
      <c r="C769" s="16"/>
      <c r="D769" s="16"/>
    </row>
    <row r="770">
      <c r="B770" s="16"/>
      <c r="C770" s="16"/>
      <c r="D770" s="16"/>
    </row>
    <row r="771">
      <c r="B771" s="16"/>
      <c r="C771" s="16"/>
      <c r="D771" s="16"/>
    </row>
    <row r="772">
      <c r="B772" s="16"/>
      <c r="C772" s="16"/>
      <c r="D772" s="16"/>
    </row>
    <row r="773">
      <c r="B773" s="16"/>
      <c r="C773" s="16"/>
      <c r="D773" s="16"/>
    </row>
    <row r="774">
      <c r="B774" s="16"/>
      <c r="C774" s="16"/>
      <c r="D774" s="16"/>
    </row>
    <row r="775">
      <c r="B775" s="16"/>
      <c r="C775" s="16"/>
      <c r="D775" s="16"/>
    </row>
    <row r="776">
      <c r="B776" s="16"/>
      <c r="C776" s="16"/>
      <c r="D776" s="16"/>
    </row>
    <row r="777">
      <c r="B777" s="16"/>
      <c r="C777" s="16"/>
      <c r="D777" s="16"/>
    </row>
    <row r="778">
      <c r="B778" s="16"/>
      <c r="C778" s="16"/>
      <c r="D778" s="16"/>
    </row>
    <row r="779">
      <c r="B779" s="16"/>
      <c r="C779" s="16"/>
      <c r="D779" s="16"/>
    </row>
    <row r="780">
      <c r="B780" s="16"/>
      <c r="C780" s="16"/>
      <c r="D780" s="16"/>
    </row>
    <row r="781">
      <c r="B781" s="16"/>
      <c r="C781" s="16"/>
      <c r="D781" s="16"/>
    </row>
    <row r="782">
      <c r="B782" s="16"/>
      <c r="C782" s="16"/>
      <c r="D782" s="16"/>
    </row>
    <row r="783">
      <c r="B783" s="16"/>
      <c r="C783" s="16"/>
      <c r="D783" s="16"/>
    </row>
    <row r="784">
      <c r="B784" s="16"/>
      <c r="C784" s="16"/>
      <c r="D784" s="16"/>
    </row>
    <row r="785">
      <c r="B785" s="16"/>
      <c r="C785" s="16"/>
      <c r="D785" s="16"/>
    </row>
    <row r="786">
      <c r="B786" s="16"/>
      <c r="C786" s="16"/>
      <c r="D786" s="16"/>
    </row>
    <row r="787">
      <c r="B787" s="16"/>
      <c r="C787" s="16"/>
      <c r="D787" s="16"/>
    </row>
    <row r="788">
      <c r="B788" s="16"/>
      <c r="C788" s="16"/>
      <c r="D788" s="16"/>
    </row>
    <row r="789">
      <c r="B789" s="16"/>
      <c r="C789" s="16"/>
      <c r="D789" s="16"/>
    </row>
    <row r="790">
      <c r="B790" s="16"/>
      <c r="C790" s="16"/>
      <c r="D790" s="16"/>
    </row>
    <row r="791">
      <c r="B791" s="16"/>
      <c r="C791" s="16"/>
      <c r="D791" s="16"/>
    </row>
    <row r="792">
      <c r="B792" s="16"/>
      <c r="C792" s="16"/>
      <c r="D792" s="16"/>
    </row>
    <row r="793">
      <c r="B793" s="16"/>
      <c r="C793" s="16"/>
      <c r="D793" s="16"/>
    </row>
    <row r="794">
      <c r="B794" s="16"/>
      <c r="C794" s="16"/>
      <c r="D794" s="16"/>
    </row>
    <row r="795">
      <c r="B795" s="16"/>
      <c r="C795" s="16"/>
      <c r="D795" s="16"/>
    </row>
    <row r="796">
      <c r="B796" s="16"/>
      <c r="C796" s="16"/>
      <c r="D796" s="16"/>
    </row>
    <row r="797">
      <c r="B797" s="16"/>
      <c r="C797" s="16"/>
      <c r="D797" s="16"/>
    </row>
    <row r="798">
      <c r="B798" s="16"/>
      <c r="C798" s="16"/>
      <c r="D798" s="16"/>
    </row>
    <row r="799">
      <c r="B799" s="16"/>
      <c r="C799" s="16"/>
      <c r="D799" s="16"/>
    </row>
    <row r="800">
      <c r="B800" s="16"/>
      <c r="C800" s="16"/>
      <c r="D800" s="16"/>
    </row>
    <row r="801">
      <c r="B801" s="16"/>
      <c r="C801" s="16"/>
      <c r="D801" s="16"/>
    </row>
    <row r="802">
      <c r="B802" s="16"/>
      <c r="C802" s="16"/>
      <c r="D802" s="16"/>
    </row>
    <row r="803">
      <c r="B803" s="16"/>
      <c r="C803" s="16"/>
      <c r="D803" s="16"/>
    </row>
    <row r="804">
      <c r="B804" s="16"/>
      <c r="C804" s="16"/>
      <c r="D804" s="16"/>
    </row>
    <row r="805">
      <c r="B805" s="16"/>
      <c r="C805" s="16"/>
      <c r="D805" s="16"/>
    </row>
    <row r="806">
      <c r="B806" s="16"/>
      <c r="C806" s="16"/>
      <c r="D806" s="16"/>
    </row>
    <row r="807">
      <c r="B807" s="16"/>
      <c r="C807" s="16"/>
      <c r="D807" s="16"/>
    </row>
    <row r="808">
      <c r="B808" s="16"/>
      <c r="C808" s="16"/>
      <c r="D808" s="16"/>
    </row>
    <row r="809">
      <c r="B809" s="16"/>
      <c r="C809" s="16"/>
      <c r="D809" s="16"/>
    </row>
    <row r="810">
      <c r="B810" s="16"/>
      <c r="C810" s="16"/>
      <c r="D810" s="16"/>
    </row>
    <row r="811">
      <c r="B811" s="16"/>
      <c r="C811" s="16"/>
      <c r="D811" s="16"/>
    </row>
    <row r="812">
      <c r="B812" s="16"/>
      <c r="C812" s="16"/>
      <c r="D812" s="16"/>
    </row>
    <row r="813">
      <c r="B813" s="16"/>
      <c r="C813" s="16"/>
      <c r="D813" s="16"/>
    </row>
    <row r="814">
      <c r="B814" s="16"/>
      <c r="C814" s="16"/>
      <c r="D814" s="16"/>
    </row>
    <row r="815">
      <c r="B815" s="16"/>
      <c r="C815" s="16"/>
      <c r="D815" s="16"/>
    </row>
    <row r="816">
      <c r="B816" s="16"/>
      <c r="C816" s="16"/>
      <c r="D816" s="16"/>
    </row>
    <row r="817">
      <c r="B817" s="16"/>
      <c r="C817" s="16"/>
      <c r="D817" s="16"/>
    </row>
    <row r="818">
      <c r="B818" s="16"/>
      <c r="C818" s="16"/>
      <c r="D818" s="16"/>
    </row>
    <row r="819">
      <c r="B819" s="16"/>
      <c r="C819" s="16"/>
      <c r="D819" s="16"/>
    </row>
    <row r="820">
      <c r="B820" s="16"/>
      <c r="C820" s="16"/>
      <c r="D820" s="16"/>
    </row>
    <row r="821">
      <c r="B821" s="16"/>
      <c r="C821" s="16"/>
      <c r="D821" s="16"/>
    </row>
    <row r="822">
      <c r="B822" s="16"/>
      <c r="C822" s="16"/>
      <c r="D822" s="16"/>
    </row>
    <row r="823">
      <c r="B823" s="16"/>
      <c r="C823" s="16"/>
      <c r="D823" s="16"/>
    </row>
    <row r="824">
      <c r="B824" s="16"/>
      <c r="C824" s="16"/>
      <c r="D824" s="16"/>
    </row>
    <row r="825">
      <c r="B825" s="16"/>
      <c r="C825" s="16"/>
      <c r="D825" s="16"/>
    </row>
    <row r="826">
      <c r="B826" s="16"/>
      <c r="C826" s="16"/>
      <c r="D826" s="16"/>
    </row>
    <row r="827">
      <c r="B827" s="16"/>
      <c r="C827" s="16"/>
      <c r="D827" s="16"/>
    </row>
    <row r="828">
      <c r="B828" s="16"/>
      <c r="C828" s="16"/>
      <c r="D828" s="16"/>
    </row>
    <row r="829">
      <c r="B829" s="16"/>
      <c r="C829" s="16"/>
      <c r="D829" s="16"/>
    </row>
    <row r="830">
      <c r="B830" s="16"/>
      <c r="C830" s="16"/>
      <c r="D830" s="16"/>
    </row>
    <row r="831">
      <c r="B831" s="16"/>
      <c r="C831" s="16"/>
      <c r="D831" s="16"/>
    </row>
    <row r="832">
      <c r="B832" s="16"/>
      <c r="C832" s="16"/>
      <c r="D832" s="16"/>
    </row>
    <row r="833">
      <c r="B833" s="16"/>
      <c r="C833" s="16"/>
      <c r="D833" s="16"/>
    </row>
    <row r="834">
      <c r="B834" s="16"/>
      <c r="C834" s="16"/>
      <c r="D834" s="16"/>
    </row>
    <row r="835">
      <c r="B835" s="16"/>
      <c r="C835" s="16"/>
      <c r="D835" s="16"/>
    </row>
    <row r="836">
      <c r="B836" s="16"/>
      <c r="C836" s="16"/>
      <c r="D836" s="16"/>
    </row>
    <row r="837">
      <c r="B837" s="16"/>
      <c r="C837" s="16"/>
      <c r="D837" s="16"/>
    </row>
    <row r="838">
      <c r="B838" s="16"/>
      <c r="C838" s="16"/>
      <c r="D838" s="16"/>
    </row>
    <row r="839">
      <c r="B839" s="16"/>
      <c r="C839" s="16"/>
      <c r="D839" s="16"/>
    </row>
    <row r="840">
      <c r="B840" s="16"/>
      <c r="C840" s="16"/>
      <c r="D840" s="16"/>
    </row>
    <row r="841">
      <c r="B841" s="16"/>
      <c r="C841" s="16"/>
      <c r="D841" s="16"/>
    </row>
    <row r="842">
      <c r="B842" s="16"/>
      <c r="C842" s="16"/>
      <c r="D842" s="16"/>
    </row>
    <row r="843">
      <c r="B843" s="16"/>
      <c r="C843" s="16"/>
      <c r="D843" s="16"/>
    </row>
    <row r="844">
      <c r="B844" s="16"/>
      <c r="C844" s="16"/>
      <c r="D844" s="16"/>
    </row>
    <row r="845">
      <c r="B845" s="16"/>
      <c r="C845" s="16"/>
      <c r="D845" s="16"/>
    </row>
    <row r="846">
      <c r="B846" s="16"/>
      <c r="C846" s="16"/>
      <c r="D846" s="16"/>
    </row>
    <row r="847">
      <c r="B847" s="16"/>
      <c r="C847" s="16"/>
      <c r="D847" s="16"/>
    </row>
    <row r="848">
      <c r="B848" s="16"/>
      <c r="C848" s="16"/>
      <c r="D848" s="16"/>
    </row>
    <row r="849">
      <c r="B849" s="16"/>
      <c r="C849" s="16"/>
      <c r="D849" s="16"/>
    </row>
    <row r="850">
      <c r="B850" s="16"/>
      <c r="C850" s="16"/>
      <c r="D850" s="16"/>
    </row>
    <row r="851">
      <c r="B851" s="16"/>
      <c r="C851" s="16"/>
      <c r="D851" s="16"/>
    </row>
    <row r="852">
      <c r="B852" s="16"/>
      <c r="C852" s="16"/>
      <c r="D852" s="16"/>
    </row>
    <row r="853">
      <c r="B853" s="16"/>
      <c r="C853" s="16"/>
      <c r="D853" s="16"/>
    </row>
    <row r="854">
      <c r="B854" s="16"/>
      <c r="C854" s="16"/>
      <c r="D854" s="16"/>
    </row>
    <row r="855">
      <c r="B855" s="16"/>
      <c r="C855" s="16"/>
      <c r="D855" s="16"/>
    </row>
    <row r="856">
      <c r="B856" s="16"/>
      <c r="C856" s="16"/>
      <c r="D856" s="16"/>
    </row>
    <row r="857">
      <c r="B857" s="16"/>
      <c r="C857" s="16"/>
      <c r="D857" s="16"/>
    </row>
    <row r="858">
      <c r="B858" s="16"/>
      <c r="C858" s="16"/>
      <c r="D858" s="16"/>
    </row>
    <row r="859">
      <c r="B859" s="16"/>
      <c r="C859" s="16"/>
      <c r="D859" s="16"/>
    </row>
    <row r="860">
      <c r="B860" s="16"/>
      <c r="C860" s="16"/>
      <c r="D860" s="16"/>
    </row>
    <row r="861">
      <c r="B861" s="16"/>
      <c r="C861" s="16"/>
      <c r="D861" s="16"/>
    </row>
    <row r="862">
      <c r="B862" s="16"/>
      <c r="C862" s="16"/>
      <c r="D862" s="16"/>
    </row>
    <row r="863">
      <c r="B863" s="16"/>
      <c r="C863" s="16"/>
      <c r="D863" s="16"/>
    </row>
    <row r="864">
      <c r="B864" s="16"/>
      <c r="C864" s="16"/>
      <c r="D864" s="16"/>
    </row>
    <row r="865">
      <c r="B865" s="16"/>
      <c r="C865" s="16"/>
      <c r="D865" s="16"/>
    </row>
    <row r="866">
      <c r="B866" s="16"/>
      <c r="C866" s="16"/>
      <c r="D866" s="16"/>
    </row>
    <row r="867">
      <c r="B867" s="16"/>
      <c r="C867" s="16"/>
      <c r="D867" s="16"/>
    </row>
    <row r="868">
      <c r="B868" s="16"/>
      <c r="C868" s="16"/>
      <c r="D868" s="16"/>
    </row>
    <row r="869">
      <c r="B869" s="16"/>
      <c r="C869" s="16"/>
      <c r="D869" s="16"/>
    </row>
    <row r="870">
      <c r="B870" s="16"/>
      <c r="C870" s="16"/>
      <c r="D870" s="16"/>
    </row>
    <row r="871">
      <c r="B871" s="16"/>
      <c r="C871" s="16"/>
      <c r="D871" s="16"/>
    </row>
    <row r="872">
      <c r="B872" s="16"/>
      <c r="C872" s="16"/>
      <c r="D872" s="16"/>
    </row>
    <row r="873">
      <c r="B873" s="16"/>
      <c r="C873" s="16"/>
      <c r="D873" s="16"/>
    </row>
    <row r="874">
      <c r="B874" s="16"/>
      <c r="C874" s="16"/>
      <c r="D874" s="16"/>
    </row>
    <row r="875">
      <c r="B875" s="16"/>
      <c r="C875" s="16"/>
      <c r="D875" s="16"/>
    </row>
    <row r="876">
      <c r="B876" s="16"/>
      <c r="C876" s="16"/>
      <c r="D876" s="16"/>
    </row>
    <row r="877">
      <c r="B877" s="16"/>
      <c r="C877" s="16"/>
      <c r="D877" s="16"/>
    </row>
    <row r="878">
      <c r="B878" s="16"/>
      <c r="C878" s="16"/>
      <c r="D878" s="16"/>
    </row>
    <row r="879">
      <c r="B879" s="16"/>
      <c r="C879" s="16"/>
      <c r="D879" s="16"/>
    </row>
    <row r="880">
      <c r="B880" s="16"/>
      <c r="C880" s="16"/>
      <c r="D880" s="16"/>
    </row>
    <row r="881">
      <c r="B881" s="16"/>
      <c r="C881" s="16"/>
      <c r="D881" s="16"/>
    </row>
    <row r="882">
      <c r="B882" s="16"/>
      <c r="C882" s="16"/>
      <c r="D882" s="16"/>
    </row>
    <row r="883">
      <c r="B883" s="16"/>
      <c r="C883" s="16"/>
      <c r="D883" s="16"/>
    </row>
    <row r="884">
      <c r="B884" s="16"/>
      <c r="C884" s="16"/>
      <c r="D884" s="16"/>
    </row>
    <row r="885">
      <c r="B885" s="16"/>
      <c r="C885" s="16"/>
      <c r="D885" s="16"/>
    </row>
    <row r="886">
      <c r="B886" s="16"/>
      <c r="C886" s="16"/>
      <c r="D886" s="16"/>
    </row>
    <row r="887">
      <c r="B887" s="16"/>
      <c r="C887" s="16"/>
      <c r="D887" s="16"/>
    </row>
    <row r="888">
      <c r="B888" s="16"/>
      <c r="C888" s="16"/>
      <c r="D888" s="16"/>
    </row>
    <row r="889">
      <c r="B889" s="16"/>
      <c r="C889" s="16"/>
      <c r="D889" s="16"/>
    </row>
    <row r="890">
      <c r="B890" s="16"/>
      <c r="C890" s="16"/>
      <c r="D890" s="16"/>
    </row>
    <row r="891">
      <c r="B891" s="16"/>
      <c r="C891" s="16"/>
      <c r="D891" s="16"/>
    </row>
    <row r="892">
      <c r="B892" s="16"/>
      <c r="C892" s="16"/>
      <c r="D892" s="16"/>
    </row>
    <row r="893">
      <c r="B893" s="16"/>
      <c r="C893" s="16"/>
      <c r="D893" s="16"/>
    </row>
    <row r="894">
      <c r="B894" s="16"/>
      <c r="C894" s="16"/>
      <c r="D894" s="16"/>
    </row>
    <row r="895">
      <c r="B895" s="16"/>
      <c r="C895" s="16"/>
      <c r="D895" s="16"/>
    </row>
    <row r="896">
      <c r="B896" s="16"/>
      <c r="C896" s="16"/>
      <c r="D896" s="16"/>
    </row>
    <row r="897">
      <c r="B897" s="16"/>
      <c r="C897" s="16"/>
      <c r="D897" s="16"/>
    </row>
    <row r="898">
      <c r="B898" s="16"/>
      <c r="C898" s="16"/>
      <c r="D898" s="16"/>
    </row>
    <row r="899">
      <c r="B899" s="16"/>
      <c r="C899" s="16"/>
      <c r="D899" s="16"/>
    </row>
    <row r="900">
      <c r="B900" s="16"/>
      <c r="C900" s="16"/>
      <c r="D900" s="16"/>
    </row>
    <row r="901">
      <c r="B901" s="16"/>
      <c r="C901" s="16"/>
      <c r="D901" s="16"/>
    </row>
    <row r="902">
      <c r="B902" s="16"/>
      <c r="C902" s="16"/>
      <c r="D902" s="16"/>
    </row>
    <row r="903">
      <c r="B903" s="16"/>
      <c r="C903" s="16"/>
      <c r="D903" s="16"/>
    </row>
    <row r="904">
      <c r="B904" s="16"/>
      <c r="C904" s="16"/>
      <c r="D904" s="16"/>
    </row>
    <row r="905">
      <c r="B905" s="16"/>
      <c r="C905" s="16"/>
      <c r="D905" s="16"/>
    </row>
    <row r="906">
      <c r="B906" s="16"/>
      <c r="C906" s="16"/>
      <c r="D906" s="16"/>
    </row>
    <row r="907">
      <c r="B907" s="16"/>
      <c r="C907" s="16"/>
      <c r="D907" s="16"/>
    </row>
    <row r="908">
      <c r="B908" s="16"/>
      <c r="C908" s="16"/>
      <c r="D908" s="16"/>
    </row>
    <row r="909">
      <c r="B909" s="16"/>
      <c r="C909" s="16"/>
      <c r="D909" s="16"/>
    </row>
    <row r="910">
      <c r="B910" s="16"/>
      <c r="C910" s="16"/>
      <c r="D910" s="16"/>
    </row>
    <row r="911">
      <c r="B911" s="16"/>
      <c r="C911" s="16"/>
      <c r="D911" s="16"/>
    </row>
    <row r="912">
      <c r="B912" s="16"/>
      <c r="C912" s="16"/>
      <c r="D912" s="16"/>
    </row>
    <row r="913">
      <c r="B913" s="16"/>
      <c r="C913" s="16"/>
      <c r="D913" s="16"/>
    </row>
    <row r="914">
      <c r="B914" s="16"/>
      <c r="C914" s="16"/>
      <c r="D914" s="16"/>
    </row>
    <row r="915">
      <c r="B915" s="16"/>
      <c r="C915" s="16"/>
      <c r="D915" s="16"/>
    </row>
    <row r="916">
      <c r="B916" s="16"/>
      <c r="C916" s="16"/>
      <c r="D916" s="16"/>
    </row>
    <row r="917">
      <c r="B917" s="16"/>
      <c r="C917" s="16"/>
      <c r="D917" s="16"/>
    </row>
    <row r="918">
      <c r="B918" s="16"/>
      <c r="C918" s="16"/>
      <c r="D918" s="16"/>
    </row>
    <row r="919">
      <c r="B919" s="16"/>
      <c r="C919" s="16"/>
      <c r="D919" s="16"/>
    </row>
    <row r="920">
      <c r="B920" s="16"/>
      <c r="C920" s="16"/>
      <c r="D920" s="16"/>
    </row>
    <row r="921">
      <c r="B921" s="16"/>
      <c r="C921" s="16"/>
      <c r="D921" s="16"/>
    </row>
    <row r="922">
      <c r="B922" s="16"/>
      <c r="C922" s="16"/>
      <c r="D922" s="16"/>
    </row>
    <row r="923">
      <c r="B923" s="16"/>
      <c r="C923" s="16"/>
      <c r="D923" s="16"/>
    </row>
    <row r="924">
      <c r="B924" s="16"/>
      <c r="C924" s="16"/>
      <c r="D924" s="16"/>
    </row>
    <row r="925">
      <c r="B925" s="16"/>
      <c r="C925" s="16"/>
      <c r="D925" s="16"/>
    </row>
    <row r="926">
      <c r="B926" s="16"/>
      <c r="C926" s="16"/>
      <c r="D926" s="16"/>
    </row>
    <row r="927">
      <c r="B927" s="16"/>
      <c r="C927" s="16"/>
      <c r="D927" s="16"/>
    </row>
    <row r="928">
      <c r="B928" s="16"/>
      <c r="C928" s="16"/>
      <c r="D928" s="16"/>
    </row>
    <row r="929">
      <c r="B929" s="16"/>
      <c r="C929" s="16"/>
      <c r="D929" s="16"/>
    </row>
    <row r="930">
      <c r="B930" s="16"/>
      <c r="C930" s="16"/>
      <c r="D930" s="16"/>
    </row>
    <row r="931">
      <c r="B931" s="16"/>
      <c r="C931" s="16"/>
      <c r="D931" s="16"/>
    </row>
    <row r="932">
      <c r="B932" s="16"/>
      <c r="C932" s="16"/>
      <c r="D932" s="16"/>
    </row>
    <row r="933">
      <c r="B933" s="16"/>
      <c r="C933" s="16"/>
      <c r="D933" s="16"/>
    </row>
    <row r="934">
      <c r="B934" s="16"/>
      <c r="C934" s="16"/>
      <c r="D934" s="16"/>
    </row>
    <row r="935">
      <c r="B935" s="16"/>
      <c r="C935" s="16"/>
      <c r="D935" s="16"/>
    </row>
    <row r="936">
      <c r="B936" s="16"/>
      <c r="C936" s="16"/>
      <c r="D936" s="16"/>
    </row>
    <row r="937">
      <c r="B937" s="16"/>
      <c r="C937" s="16"/>
      <c r="D937" s="16"/>
    </row>
    <row r="938">
      <c r="B938" s="16"/>
      <c r="C938" s="16"/>
      <c r="D938" s="16"/>
    </row>
    <row r="939">
      <c r="B939" s="16"/>
      <c r="C939" s="16"/>
      <c r="D939" s="16"/>
    </row>
    <row r="940">
      <c r="B940" s="16"/>
      <c r="C940" s="16"/>
      <c r="D940" s="16"/>
    </row>
    <row r="941">
      <c r="B941" s="16"/>
      <c r="C941" s="16"/>
      <c r="D941" s="16"/>
    </row>
    <row r="942">
      <c r="B942" s="16"/>
      <c r="C942" s="16"/>
      <c r="D942" s="16"/>
    </row>
    <row r="943">
      <c r="B943" s="16"/>
      <c r="C943" s="16"/>
      <c r="D943" s="16"/>
    </row>
    <row r="944">
      <c r="B944" s="16"/>
      <c r="C944" s="16"/>
      <c r="D944" s="16"/>
    </row>
    <row r="945">
      <c r="B945" s="16"/>
      <c r="C945" s="16"/>
      <c r="D945" s="16"/>
    </row>
    <row r="946">
      <c r="B946" s="16"/>
      <c r="C946" s="16"/>
      <c r="D946" s="16"/>
    </row>
    <row r="947">
      <c r="B947" s="16"/>
      <c r="C947" s="16"/>
      <c r="D947" s="16"/>
    </row>
    <row r="948">
      <c r="B948" s="16"/>
      <c r="C948" s="16"/>
      <c r="D948" s="16"/>
    </row>
    <row r="949">
      <c r="B949" s="16"/>
      <c r="C949" s="16"/>
      <c r="D949" s="16"/>
    </row>
    <row r="950">
      <c r="B950" s="16"/>
      <c r="C950" s="16"/>
      <c r="D950" s="16"/>
    </row>
    <row r="951">
      <c r="B951" s="16"/>
      <c r="C951" s="16"/>
      <c r="D951" s="16"/>
    </row>
    <row r="952">
      <c r="B952" s="16"/>
      <c r="C952" s="16"/>
      <c r="D952" s="16"/>
    </row>
    <row r="953">
      <c r="B953" s="16"/>
      <c r="C953" s="16"/>
      <c r="D953" s="16"/>
    </row>
    <row r="954">
      <c r="B954" s="16"/>
      <c r="C954" s="16"/>
      <c r="D954" s="16"/>
    </row>
    <row r="955">
      <c r="B955" s="16"/>
      <c r="C955" s="16"/>
      <c r="D955" s="16"/>
    </row>
    <row r="956">
      <c r="B956" s="16"/>
      <c r="C956" s="16"/>
      <c r="D956" s="16"/>
    </row>
    <row r="957">
      <c r="B957" s="16"/>
      <c r="C957" s="16"/>
      <c r="D957" s="16"/>
    </row>
    <row r="958">
      <c r="B958" s="16"/>
      <c r="C958" s="16"/>
      <c r="D958" s="16"/>
    </row>
    <row r="959">
      <c r="B959" s="16"/>
      <c r="C959" s="16"/>
      <c r="D959" s="16"/>
    </row>
    <row r="960">
      <c r="B960" s="16"/>
      <c r="C960" s="16"/>
      <c r="D960" s="16"/>
    </row>
    <row r="961">
      <c r="B961" s="16"/>
      <c r="C961" s="16"/>
      <c r="D961" s="16"/>
    </row>
    <row r="962">
      <c r="B962" s="16"/>
      <c r="C962" s="16"/>
      <c r="D962" s="16"/>
    </row>
    <row r="963">
      <c r="B963" s="16"/>
      <c r="C963" s="16"/>
      <c r="D963" s="16"/>
    </row>
    <row r="964">
      <c r="B964" s="16"/>
      <c r="C964" s="16"/>
      <c r="D964" s="16"/>
    </row>
    <row r="965">
      <c r="B965" s="16"/>
      <c r="C965" s="16"/>
      <c r="D965" s="16"/>
    </row>
    <row r="966">
      <c r="B966" s="16"/>
      <c r="C966" s="16"/>
      <c r="D966" s="16"/>
    </row>
    <row r="967">
      <c r="B967" s="16"/>
      <c r="C967" s="16"/>
      <c r="D967" s="16"/>
    </row>
    <row r="968">
      <c r="B968" s="16"/>
      <c r="C968" s="16"/>
      <c r="D968" s="16"/>
    </row>
    <row r="969">
      <c r="B969" s="16"/>
      <c r="C969" s="16"/>
      <c r="D969" s="16"/>
    </row>
    <row r="970">
      <c r="B970" s="16"/>
      <c r="C970" s="16"/>
      <c r="D970" s="16"/>
    </row>
    <row r="971">
      <c r="B971" s="16"/>
      <c r="C971" s="16"/>
      <c r="D971" s="16"/>
    </row>
    <row r="972">
      <c r="B972" s="16"/>
      <c r="C972" s="16"/>
      <c r="D972" s="16"/>
    </row>
    <row r="973">
      <c r="B973" s="16"/>
      <c r="C973" s="16"/>
      <c r="D973" s="16"/>
    </row>
    <row r="974">
      <c r="B974" s="16"/>
      <c r="C974" s="16"/>
      <c r="D974" s="16"/>
    </row>
    <row r="975">
      <c r="B975" s="16"/>
      <c r="C975" s="16"/>
      <c r="D975" s="16"/>
    </row>
    <row r="976">
      <c r="B976" s="16"/>
      <c r="C976" s="16"/>
      <c r="D976" s="16"/>
    </row>
    <row r="977">
      <c r="B977" s="16"/>
      <c r="C977" s="16"/>
      <c r="D977" s="16"/>
    </row>
    <row r="978">
      <c r="B978" s="16"/>
      <c r="C978" s="16"/>
      <c r="D978" s="16"/>
    </row>
    <row r="979">
      <c r="B979" s="16"/>
      <c r="C979" s="16"/>
      <c r="D979" s="16"/>
    </row>
    <row r="980">
      <c r="B980" s="16"/>
      <c r="C980" s="16"/>
      <c r="D980" s="16"/>
    </row>
    <row r="981">
      <c r="B981" s="16"/>
      <c r="C981" s="16"/>
      <c r="D981" s="16"/>
    </row>
    <row r="982">
      <c r="B982" s="16"/>
      <c r="C982" s="16"/>
      <c r="D982" s="16"/>
    </row>
    <row r="983">
      <c r="B983" s="16"/>
      <c r="C983" s="16"/>
      <c r="D983" s="16"/>
    </row>
    <row r="984">
      <c r="B984" s="16"/>
      <c r="C984" s="16"/>
      <c r="D984" s="16"/>
    </row>
    <row r="985">
      <c r="B985" s="16"/>
      <c r="C985" s="16"/>
      <c r="D985" s="16"/>
    </row>
    <row r="986">
      <c r="B986" s="16"/>
      <c r="C986" s="16"/>
      <c r="D986" s="16"/>
    </row>
    <row r="987">
      <c r="B987" s="16"/>
      <c r="C987" s="16"/>
      <c r="D987" s="16"/>
    </row>
    <row r="988">
      <c r="B988" s="16"/>
      <c r="C988" s="16"/>
      <c r="D988" s="16"/>
    </row>
    <row r="989">
      <c r="B989" s="16"/>
      <c r="C989" s="16"/>
      <c r="D989" s="16"/>
    </row>
    <row r="990">
      <c r="B990" s="16"/>
      <c r="C990" s="16"/>
      <c r="D990" s="16"/>
    </row>
    <row r="991">
      <c r="B991" s="16"/>
      <c r="C991" s="16"/>
      <c r="D991" s="16"/>
    </row>
    <row r="992">
      <c r="B992" s="16"/>
      <c r="C992" s="16"/>
      <c r="D992" s="16"/>
    </row>
    <row r="993">
      <c r="B993" s="16"/>
      <c r="C993" s="16"/>
      <c r="D993" s="16"/>
    </row>
    <row r="994">
      <c r="B994" s="16"/>
      <c r="C994" s="16"/>
      <c r="D994" s="16"/>
    </row>
    <row r="995">
      <c r="B995" s="16"/>
      <c r="C995" s="16"/>
      <c r="D995" s="16"/>
    </row>
    <row r="996">
      <c r="B996" s="16"/>
      <c r="C996" s="16"/>
      <c r="D996" s="16"/>
    </row>
    <row r="997">
      <c r="B997" s="16"/>
      <c r="C997" s="16"/>
      <c r="D997" s="16"/>
    </row>
    <row r="998">
      <c r="B998" s="16"/>
      <c r="C998" s="16"/>
      <c r="D998" s="16"/>
    </row>
    <row r="999">
      <c r="B999" s="16"/>
      <c r="C999" s="16"/>
      <c r="D999" s="16"/>
    </row>
    <row r="1000">
      <c r="B1000" s="16"/>
      <c r="C1000" s="16"/>
      <c r="D1000" s="16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75"/>
    <col customWidth="1" min="3" max="3" width="34.25"/>
    <col customWidth="1" min="4" max="4" width="14.38"/>
  </cols>
  <sheetData>
    <row r="1" ht="22.5" customHeight="1">
      <c r="A1" s="28" t="s">
        <v>19</v>
      </c>
      <c r="B1" s="28" t="s">
        <v>50</v>
      </c>
      <c r="C1" s="28" t="s">
        <v>224</v>
      </c>
      <c r="D1" s="28" t="s">
        <v>225</v>
      </c>
      <c r="E1" s="28" t="s">
        <v>52</v>
      </c>
      <c r="F1" s="28" t="s">
        <v>54</v>
      </c>
    </row>
    <row r="2" ht="22.5" customHeight="1">
      <c r="A2" s="31">
        <v>1.0</v>
      </c>
      <c r="B2" s="38" t="s">
        <v>227</v>
      </c>
      <c r="C2" s="38" t="s">
        <v>227</v>
      </c>
      <c r="D2" s="39" t="s">
        <v>229</v>
      </c>
      <c r="E2" s="40" t="s">
        <v>231</v>
      </c>
      <c r="F2" s="33">
        <v>0.0</v>
      </c>
    </row>
    <row r="3" ht="22.5" customHeight="1">
      <c r="A3" s="31">
        <v>2.0</v>
      </c>
      <c r="B3" s="38" t="s">
        <v>233</v>
      </c>
      <c r="C3" s="38" t="s">
        <v>233</v>
      </c>
      <c r="D3" s="39" t="s">
        <v>234</v>
      </c>
      <c r="E3" s="33" t="s">
        <v>231</v>
      </c>
      <c r="F3" s="33">
        <v>0.0</v>
      </c>
    </row>
    <row r="4" ht="22.5" customHeight="1">
      <c r="A4" s="31">
        <v>3.0</v>
      </c>
      <c r="B4" s="41" t="s">
        <v>235</v>
      </c>
      <c r="C4" s="41" t="s">
        <v>236</v>
      </c>
      <c r="D4" s="42" t="s">
        <v>237</v>
      </c>
      <c r="E4" s="33" t="s">
        <v>231</v>
      </c>
      <c r="F4" s="33">
        <v>1.0</v>
      </c>
    </row>
    <row r="5" ht="22.5" customHeight="1">
      <c r="A5" s="31">
        <v>4.0</v>
      </c>
      <c r="B5" s="38" t="s">
        <v>233</v>
      </c>
      <c r="C5" s="38" t="s">
        <v>233</v>
      </c>
      <c r="D5" s="39" t="s">
        <v>234</v>
      </c>
      <c r="E5" s="43"/>
      <c r="F5" s="33">
        <v>0.0</v>
      </c>
    </row>
    <row r="6" ht="22.5" customHeight="1">
      <c r="A6" s="31">
        <v>5.0</v>
      </c>
      <c r="B6" s="38" t="s">
        <v>239</v>
      </c>
      <c r="C6" s="38" t="s">
        <v>239</v>
      </c>
      <c r="D6" s="44" t="s">
        <v>243</v>
      </c>
      <c r="E6" s="43"/>
      <c r="F6" s="33">
        <v>0.0</v>
      </c>
    </row>
    <row r="7" ht="22.5" customHeight="1">
      <c r="A7" s="31">
        <v>6.0</v>
      </c>
      <c r="B7" s="38" t="s">
        <v>245</v>
      </c>
      <c r="C7" s="38" t="s">
        <v>245</v>
      </c>
      <c r="D7" s="39" t="s">
        <v>246</v>
      </c>
      <c r="E7" s="33" t="s">
        <v>248</v>
      </c>
      <c r="F7" s="33">
        <v>0.0</v>
      </c>
    </row>
    <row r="8" ht="22.5" customHeight="1">
      <c r="A8" s="31">
        <v>7.0</v>
      </c>
      <c r="B8" s="38" t="s">
        <v>245</v>
      </c>
      <c r="C8" s="38" t="s">
        <v>245</v>
      </c>
      <c r="D8" s="39" t="s">
        <v>246</v>
      </c>
      <c r="E8" s="33" t="s">
        <v>248</v>
      </c>
      <c r="F8" s="33">
        <v>0.0</v>
      </c>
    </row>
    <row r="9" ht="22.5" customHeight="1">
      <c r="A9" s="31">
        <v>8.0</v>
      </c>
      <c r="B9" s="41" t="s">
        <v>235</v>
      </c>
      <c r="C9" s="41" t="s">
        <v>252</v>
      </c>
      <c r="D9" s="51" t="s">
        <v>253</v>
      </c>
      <c r="E9" s="33" t="s">
        <v>248</v>
      </c>
      <c r="F9" s="33">
        <v>1.0</v>
      </c>
    </row>
    <row r="10" ht="22.5" customHeight="1">
      <c r="A10" s="31">
        <v>9.0</v>
      </c>
      <c r="B10" s="41" t="s">
        <v>235</v>
      </c>
      <c r="C10" s="41" t="s">
        <v>252</v>
      </c>
      <c r="D10" s="51" t="s">
        <v>253</v>
      </c>
      <c r="E10" s="33" t="s">
        <v>248</v>
      </c>
      <c r="F10" s="33">
        <v>1.0</v>
      </c>
    </row>
    <row r="11" ht="22.5" customHeight="1">
      <c r="A11" s="31">
        <v>10.0</v>
      </c>
      <c r="B11" s="38" t="s">
        <v>269</v>
      </c>
      <c r="C11" s="38" t="s">
        <v>269</v>
      </c>
      <c r="D11" s="44" t="s">
        <v>271</v>
      </c>
      <c r="E11" s="33" t="s">
        <v>248</v>
      </c>
      <c r="F11" s="33">
        <v>0.0</v>
      </c>
    </row>
    <row r="12" ht="22.5" customHeight="1">
      <c r="A12" s="31">
        <v>11.0</v>
      </c>
      <c r="B12" s="38" t="s">
        <v>277</v>
      </c>
      <c r="C12" s="38" t="s">
        <v>277</v>
      </c>
      <c r="D12" s="44" t="s">
        <v>279</v>
      </c>
      <c r="E12" s="33" t="s">
        <v>248</v>
      </c>
      <c r="F12" s="33">
        <v>0.0</v>
      </c>
    </row>
    <row r="13" ht="22.5" customHeight="1">
      <c r="A13" s="31">
        <v>12.0</v>
      </c>
      <c r="B13" s="38" t="s">
        <v>277</v>
      </c>
      <c r="C13" s="38" t="s">
        <v>277</v>
      </c>
      <c r="D13" s="44" t="s">
        <v>279</v>
      </c>
      <c r="E13" s="33" t="s">
        <v>248</v>
      </c>
      <c r="F13" s="33">
        <v>0.0</v>
      </c>
    </row>
    <row r="14" ht="22.5" customHeight="1">
      <c r="A14" s="31">
        <v>13.0</v>
      </c>
      <c r="B14" s="38" t="s">
        <v>283</v>
      </c>
      <c r="C14" s="38" t="s">
        <v>283</v>
      </c>
      <c r="D14" s="44" t="s">
        <v>284</v>
      </c>
      <c r="E14" s="33" t="s">
        <v>248</v>
      </c>
      <c r="F14" s="33">
        <v>0.0</v>
      </c>
    </row>
    <row r="15" ht="22.5" customHeight="1">
      <c r="A15" s="31">
        <v>14.0</v>
      </c>
      <c r="B15" s="38" t="s">
        <v>287</v>
      </c>
      <c r="C15" s="38" t="s">
        <v>287</v>
      </c>
      <c r="D15" s="44" t="s">
        <v>288</v>
      </c>
      <c r="E15" s="33" t="s">
        <v>248</v>
      </c>
      <c r="F15" s="33">
        <v>0.0</v>
      </c>
    </row>
    <row r="16" ht="22.5" customHeight="1">
      <c r="A16" s="31">
        <v>15.0</v>
      </c>
      <c r="B16" s="38" t="s">
        <v>287</v>
      </c>
      <c r="C16" s="38" t="s">
        <v>287</v>
      </c>
      <c r="D16" s="44" t="s">
        <v>288</v>
      </c>
      <c r="E16" s="33" t="s">
        <v>248</v>
      </c>
      <c r="F16" s="33">
        <v>0.0</v>
      </c>
    </row>
    <row r="17" ht="22.5" customHeight="1">
      <c r="A17" s="31">
        <v>16.0</v>
      </c>
      <c r="B17" s="38" t="s">
        <v>287</v>
      </c>
      <c r="C17" s="38" t="s">
        <v>287</v>
      </c>
      <c r="D17" s="44" t="s">
        <v>288</v>
      </c>
      <c r="E17" s="33" t="s">
        <v>248</v>
      </c>
      <c r="F17" s="33">
        <v>0.0</v>
      </c>
    </row>
    <row r="18" ht="22.5" customHeight="1">
      <c r="A18" s="31">
        <v>17.0</v>
      </c>
      <c r="B18" s="38" t="s">
        <v>293</v>
      </c>
      <c r="C18" s="38" t="s">
        <v>293</v>
      </c>
      <c r="D18" s="44" t="s">
        <v>294</v>
      </c>
      <c r="E18" s="33" t="s">
        <v>248</v>
      </c>
      <c r="F18" s="33">
        <v>0.0</v>
      </c>
    </row>
    <row r="19" ht="22.5" customHeight="1">
      <c r="A19" s="31">
        <v>18.0</v>
      </c>
      <c r="B19" s="38" t="s">
        <v>293</v>
      </c>
      <c r="C19" s="38" t="s">
        <v>293</v>
      </c>
      <c r="D19" s="44" t="s">
        <v>294</v>
      </c>
      <c r="E19" s="33" t="s">
        <v>248</v>
      </c>
      <c r="F19" s="33">
        <v>0.0</v>
      </c>
    </row>
    <row r="20" ht="22.5" customHeight="1">
      <c r="A20" s="31">
        <v>19.0</v>
      </c>
      <c r="B20" s="38" t="s">
        <v>296</v>
      </c>
      <c r="C20" s="38" t="s">
        <v>297</v>
      </c>
      <c r="D20" s="39" t="s">
        <v>298</v>
      </c>
      <c r="E20" s="33" t="s">
        <v>248</v>
      </c>
      <c r="F20" s="33">
        <v>0.0</v>
      </c>
    </row>
    <row r="21" ht="22.5" customHeight="1">
      <c r="A21" s="31">
        <v>20.0</v>
      </c>
      <c r="B21" s="38" t="s">
        <v>300</v>
      </c>
      <c r="C21" s="38" t="s">
        <v>301</v>
      </c>
      <c r="D21" s="39" t="s">
        <v>302</v>
      </c>
      <c r="E21" s="33" t="s">
        <v>248</v>
      </c>
      <c r="F21" s="33">
        <v>0.0</v>
      </c>
    </row>
    <row r="22" ht="22.5" customHeight="1">
      <c r="A22" s="31">
        <v>21.0</v>
      </c>
      <c r="B22" s="38" t="s">
        <v>301</v>
      </c>
      <c r="C22" s="38" t="s">
        <v>301</v>
      </c>
      <c r="D22" s="39" t="s">
        <v>302</v>
      </c>
      <c r="E22" s="33" t="s">
        <v>248</v>
      </c>
      <c r="F22" s="33">
        <v>0.0</v>
      </c>
    </row>
    <row r="23" ht="22.5" customHeight="1">
      <c r="A23" s="31">
        <v>22.0</v>
      </c>
      <c r="B23" s="38" t="s">
        <v>301</v>
      </c>
      <c r="C23" s="38" t="s">
        <v>301</v>
      </c>
      <c r="D23" s="39" t="s">
        <v>302</v>
      </c>
      <c r="E23" s="33" t="s">
        <v>248</v>
      </c>
      <c r="F23" s="33">
        <v>0.0</v>
      </c>
    </row>
    <row r="24" ht="22.5" customHeight="1">
      <c r="A24" s="31">
        <v>23.0</v>
      </c>
      <c r="B24" s="38" t="s">
        <v>296</v>
      </c>
      <c r="C24" s="38" t="s">
        <v>297</v>
      </c>
      <c r="D24" s="39" t="s">
        <v>305</v>
      </c>
      <c r="E24" s="33" t="s">
        <v>248</v>
      </c>
      <c r="F24" s="33">
        <v>0.0</v>
      </c>
    </row>
    <row r="25" ht="22.5" customHeight="1">
      <c r="A25" s="31">
        <v>24.0</v>
      </c>
      <c r="B25" s="38" t="s">
        <v>296</v>
      </c>
      <c r="C25" s="38" t="s">
        <v>297</v>
      </c>
      <c r="D25" s="39" t="s">
        <v>305</v>
      </c>
      <c r="E25" s="33" t="s">
        <v>248</v>
      </c>
      <c r="F25" s="33">
        <v>0.0</v>
      </c>
    </row>
    <row r="26" ht="22.5" customHeight="1">
      <c r="A26" s="31">
        <v>25.0</v>
      </c>
      <c r="B26" s="38" t="s">
        <v>296</v>
      </c>
      <c r="C26" s="38" t="s">
        <v>297</v>
      </c>
      <c r="D26" s="39" t="s">
        <v>305</v>
      </c>
      <c r="E26" s="33" t="s">
        <v>248</v>
      </c>
      <c r="F26" s="33">
        <v>0.0</v>
      </c>
    </row>
    <row r="27" ht="22.5" customHeight="1">
      <c r="A27" s="31">
        <v>26.0</v>
      </c>
      <c r="B27" s="41" t="s">
        <v>235</v>
      </c>
      <c r="C27" s="41" t="s">
        <v>252</v>
      </c>
      <c r="D27" s="51" t="s">
        <v>253</v>
      </c>
      <c r="E27" s="33" t="s">
        <v>248</v>
      </c>
      <c r="F27" s="33">
        <v>0.0</v>
      </c>
    </row>
    <row r="28" ht="22.5" customHeight="1">
      <c r="A28" s="31">
        <v>27.0</v>
      </c>
      <c r="B28" s="38" t="s">
        <v>308</v>
      </c>
      <c r="C28" s="38" t="s">
        <v>308</v>
      </c>
      <c r="D28" s="42" t="s">
        <v>309</v>
      </c>
      <c r="E28" s="33" t="s">
        <v>248</v>
      </c>
      <c r="F28" s="33">
        <v>0.0</v>
      </c>
    </row>
    <row r="29" ht="22.5" customHeight="1">
      <c r="A29" s="31">
        <v>28.0</v>
      </c>
      <c r="B29" s="38" t="s">
        <v>308</v>
      </c>
      <c r="C29" s="38" t="s">
        <v>308</v>
      </c>
      <c r="D29" s="42" t="s">
        <v>309</v>
      </c>
      <c r="E29" s="33" t="s">
        <v>248</v>
      </c>
      <c r="F29" s="33">
        <v>0.0</v>
      </c>
    </row>
    <row r="30" ht="22.5" customHeight="1">
      <c r="A30" s="31">
        <v>29.0</v>
      </c>
      <c r="B30" s="41" t="s">
        <v>235</v>
      </c>
      <c r="C30" s="41" t="s">
        <v>252</v>
      </c>
      <c r="D30" s="51" t="s">
        <v>253</v>
      </c>
      <c r="E30" s="33" t="s">
        <v>248</v>
      </c>
      <c r="F30" s="33">
        <v>1.0</v>
      </c>
    </row>
    <row r="31" ht="22.5" customHeight="1">
      <c r="A31" s="31">
        <v>30.0</v>
      </c>
      <c r="B31" s="38" t="s">
        <v>236</v>
      </c>
      <c r="C31" s="38" t="s">
        <v>236</v>
      </c>
      <c r="D31" s="42" t="s">
        <v>237</v>
      </c>
      <c r="E31" s="33" t="s">
        <v>248</v>
      </c>
      <c r="F31" s="33">
        <v>0.0</v>
      </c>
    </row>
    <row r="32" ht="22.5" customHeight="1">
      <c r="A32" s="31">
        <v>31.0</v>
      </c>
      <c r="B32" s="41" t="s">
        <v>235</v>
      </c>
      <c r="C32" s="41" t="s">
        <v>252</v>
      </c>
      <c r="D32" s="51" t="s">
        <v>253</v>
      </c>
      <c r="E32" s="33" t="s">
        <v>248</v>
      </c>
      <c r="F32" s="33">
        <v>1.0</v>
      </c>
    </row>
    <row r="33" ht="22.5" customHeight="1">
      <c r="A33" s="31">
        <v>32.0</v>
      </c>
      <c r="B33" s="38" t="s">
        <v>312</v>
      </c>
      <c r="C33" s="38" t="s">
        <v>312</v>
      </c>
      <c r="D33" s="44" t="s">
        <v>313</v>
      </c>
      <c r="E33" s="33" t="s">
        <v>248</v>
      </c>
      <c r="F33" s="33">
        <v>0.0</v>
      </c>
    </row>
    <row r="34" ht="22.5" customHeight="1">
      <c r="A34" s="31">
        <v>33.0</v>
      </c>
      <c r="B34" s="38" t="s">
        <v>312</v>
      </c>
      <c r="C34" s="38" t="s">
        <v>312</v>
      </c>
      <c r="D34" s="44" t="s">
        <v>313</v>
      </c>
      <c r="F34" s="33">
        <v>0.0</v>
      </c>
    </row>
    <row r="35" ht="22.5" customHeight="1">
      <c r="A35" s="31">
        <v>34.0</v>
      </c>
      <c r="B35" s="41" t="s">
        <v>235</v>
      </c>
      <c r="C35" s="41" t="s">
        <v>252</v>
      </c>
      <c r="D35" s="51" t="s">
        <v>253</v>
      </c>
      <c r="E35" s="33" t="s">
        <v>248</v>
      </c>
      <c r="F35" s="33">
        <v>0.0</v>
      </c>
    </row>
    <row r="36">
      <c r="B36" s="16"/>
      <c r="C36" s="16"/>
      <c r="D36" s="16"/>
    </row>
    <row r="37">
      <c r="B37" s="16"/>
      <c r="C37" s="16"/>
      <c r="D37" s="16"/>
    </row>
    <row r="38">
      <c r="B38" s="16"/>
      <c r="C38" s="16"/>
      <c r="D38" s="16"/>
    </row>
    <row r="39">
      <c r="B39" s="16"/>
      <c r="C39" s="16"/>
      <c r="D39" s="16"/>
    </row>
    <row r="40">
      <c r="B40" s="16"/>
      <c r="C40" s="16"/>
      <c r="D40" s="16"/>
    </row>
    <row r="41">
      <c r="B41" s="16"/>
      <c r="C41" s="16"/>
      <c r="D41" s="16"/>
    </row>
    <row r="42">
      <c r="B42" s="16"/>
      <c r="C42" s="16"/>
      <c r="D42" s="16"/>
    </row>
    <row r="43">
      <c r="B43" s="16"/>
      <c r="C43" s="16"/>
      <c r="D43" s="16"/>
    </row>
    <row r="44">
      <c r="B44" s="16"/>
      <c r="C44" s="16"/>
      <c r="D44" s="16"/>
    </row>
    <row r="45">
      <c r="B45" s="16"/>
      <c r="C45" s="16"/>
      <c r="D45" s="16"/>
    </row>
    <row r="46">
      <c r="B46" s="16"/>
      <c r="C46" s="16"/>
      <c r="D46" s="16"/>
    </row>
    <row r="47">
      <c r="B47" s="16"/>
      <c r="C47" s="16"/>
      <c r="D47" s="16"/>
    </row>
    <row r="48">
      <c r="B48" s="16"/>
      <c r="C48" s="16"/>
      <c r="D48" s="16"/>
    </row>
    <row r="49">
      <c r="B49" s="16"/>
      <c r="C49" s="16"/>
      <c r="D49" s="16"/>
    </row>
    <row r="50">
      <c r="B50" s="16"/>
      <c r="C50" s="16"/>
      <c r="D50" s="16"/>
    </row>
    <row r="51">
      <c r="B51" s="16"/>
      <c r="C51" s="16"/>
      <c r="D51" s="16"/>
    </row>
    <row r="52">
      <c r="B52" s="16"/>
      <c r="C52" s="16"/>
      <c r="D52" s="16"/>
    </row>
    <row r="53">
      <c r="B53" s="16"/>
      <c r="C53" s="16"/>
      <c r="D53" s="16"/>
    </row>
    <row r="54">
      <c r="B54" s="16"/>
      <c r="C54" s="16"/>
      <c r="D54" s="16"/>
    </row>
    <row r="55">
      <c r="B55" s="16"/>
      <c r="C55" s="16"/>
      <c r="D55" s="16"/>
    </row>
    <row r="56">
      <c r="B56" s="16"/>
      <c r="C56" s="16"/>
      <c r="D56" s="16"/>
    </row>
    <row r="57">
      <c r="B57" s="16"/>
      <c r="C57" s="16"/>
      <c r="D57" s="16"/>
    </row>
    <row r="58">
      <c r="B58" s="16"/>
      <c r="C58" s="16"/>
      <c r="D58" s="16"/>
    </row>
    <row r="59">
      <c r="B59" s="16"/>
      <c r="C59" s="16"/>
      <c r="D59" s="16"/>
    </row>
    <row r="60">
      <c r="B60" s="16"/>
      <c r="C60" s="16"/>
      <c r="D60" s="16"/>
    </row>
    <row r="61">
      <c r="B61" s="16"/>
      <c r="C61" s="16"/>
      <c r="D61" s="16"/>
    </row>
    <row r="62">
      <c r="B62" s="16"/>
      <c r="C62" s="16"/>
      <c r="D62" s="16"/>
    </row>
    <row r="63">
      <c r="B63" s="16"/>
      <c r="C63" s="16"/>
      <c r="D63" s="16"/>
    </row>
    <row r="64">
      <c r="B64" s="16"/>
      <c r="C64" s="16"/>
      <c r="D64" s="16"/>
    </row>
    <row r="65">
      <c r="B65" s="16"/>
      <c r="C65" s="16"/>
      <c r="D65" s="16"/>
    </row>
    <row r="66">
      <c r="B66" s="16"/>
      <c r="C66" s="16"/>
      <c r="D66" s="16"/>
    </row>
    <row r="67">
      <c r="B67" s="16"/>
      <c r="C67" s="16"/>
      <c r="D67" s="16"/>
    </row>
    <row r="68">
      <c r="B68" s="16"/>
      <c r="C68" s="16"/>
      <c r="D68" s="16"/>
    </row>
    <row r="69">
      <c r="B69" s="16"/>
      <c r="C69" s="16"/>
      <c r="D69" s="16"/>
    </row>
    <row r="70">
      <c r="B70" s="16"/>
      <c r="C70" s="16"/>
      <c r="D70" s="16"/>
    </row>
    <row r="71">
      <c r="B71" s="16"/>
      <c r="C71" s="16"/>
      <c r="D71" s="16"/>
    </row>
    <row r="72">
      <c r="B72" s="16"/>
      <c r="C72" s="16"/>
      <c r="D72" s="16"/>
    </row>
    <row r="73">
      <c r="B73" s="16"/>
      <c r="C73" s="16"/>
      <c r="D73" s="16"/>
    </row>
    <row r="74">
      <c r="B74" s="16"/>
      <c r="C74" s="16"/>
      <c r="D74" s="16"/>
    </row>
    <row r="75">
      <c r="B75" s="16"/>
      <c r="C75" s="16"/>
      <c r="D75" s="16"/>
    </row>
    <row r="76">
      <c r="B76" s="16"/>
      <c r="C76" s="16"/>
      <c r="D76" s="16"/>
    </row>
    <row r="77">
      <c r="B77" s="16"/>
      <c r="C77" s="16"/>
      <c r="D77" s="16"/>
    </row>
    <row r="78">
      <c r="B78" s="16"/>
      <c r="C78" s="16"/>
      <c r="D78" s="16"/>
    </row>
    <row r="79">
      <c r="B79" s="16"/>
      <c r="C79" s="16"/>
      <c r="D79" s="16"/>
    </row>
    <row r="80">
      <c r="B80" s="16"/>
      <c r="C80" s="16"/>
      <c r="D80" s="16"/>
    </row>
    <row r="81">
      <c r="B81" s="16"/>
      <c r="C81" s="16"/>
      <c r="D81" s="16"/>
    </row>
    <row r="82">
      <c r="B82" s="16"/>
      <c r="C82" s="16"/>
      <c r="D82" s="16"/>
    </row>
    <row r="83">
      <c r="B83" s="16"/>
      <c r="C83" s="16"/>
      <c r="D83" s="16"/>
    </row>
    <row r="84">
      <c r="B84" s="16"/>
      <c r="C84" s="16"/>
      <c r="D84" s="16"/>
    </row>
    <row r="85">
      <c r="B85" s="16"/>
      <c r="C85" s="16"/>
      <c r="D85" s="16"/>
    </row>
    <row r="86">
      <c r="B86" s="16"/>
      <c r="C86" s="16"/>
      <c r="D86" s="16"/>
    </row>
    <row r="87">
      <c r="B87" s="16"/>
      <c r="C87" s="16"/>
      <c r="D87" s="16"/>
    </row>
    <row r="88">
      <c r="B88" s="16"/>
      <c r="C88" s="16"/>
      <c r="D88" s="16"/>
    </row>
    <row r="89">
      <c r="B89" s="16"/>
      <c r="C89" s="16"/>
      <c r="D89" s="16"/>
    </row>
    <row r="90">
      <c r="B90" s="16"/>
      <c r="C90" s="16"/>
      <c r="D90" s="16"/>
    </row>
    <row r="91">
      <c r="B91" s="16"/>
      <c r="C91" s="16"/>
      <c r="D91" s="16"/>
    </row>
    <row r="92">
      <c r="B92" s="16"/>
      <c r="C92" s="16"/>
      <c r="D92" s="16"/>
    </row>
    <row r="93">
      <c r="B93" s="16"/>
      <c r="C93" s="16"/>
      <c r="D93" s="16"/>
    </row>
    <row r="94">
      <c r="B94" s="16"/>
      <c r="C94" s="16"/>
      <c r="D94" s="16"/>
    </row>
    <row r="95">
      <c r="B95" s="16"/>
      <c r="C95" s="16"/>
      <c r="D95" s="16"/>
    </row>
    <row r="96">
      <c r="B96" s="16"/>
      <c r="C96" s="16"/>
      <c r="D96" s="16"/>
    </row>
    <row r="97">
      <c r="B97" s="16"/>
      <c r="C97" s="16"/>
      <c r="D97" s="16"/>
    </row>
    <row r="98">
      <c r="B98" s="16"/>
      <c r="C98" s="16"/>
      <c r="D98" s="16"/>
    </row>
    <row r="99">
      <c r="B99" s="16"/>
      <c r="C99" s="16"/>
      <c r="D99" s="16"/>
    </row>
    <row r="100">
      <c r="B100" s="16"/>
      <c r="C100" s="16"/>
      <c r="D100" s="16"/>
    </row>
    <row r="101">
      <c r="B101" s="16"/>
      <c r="C101" s="16"/>
      <c r="D101" s="16"/>
    </row>
    <row r="102">
      <c r="B102" s="16"/>
      <c r="C102" s="16"/>
      <c r="D102" s="16"/>
    </row>
    <row r="103">
      <c r="B103" s="16"/>
      <c r="C103" s="16"/>
      <c r="D103" s="16"/>
    </row>
    <row r="104">
      <c r="B104" s="16"/>
      <c r="C104" s="16"/>
      <c r="D104" s="16"/>
    </row>
    <row r="105">
      <c r="B105" s="16"/>
      <c r="C105" s="16"/>
      <c r="D105" s="16"/>
    </row>
    <row r="106">
      <c r="B106" s="16"/>
      <c r="C106" s="16"/>
      <c r="D106" s="16"/>
    </row>
    <row r="107">
      <c r="B107" s="16"/>
      <c r="C107" s="16"/>
      <c r="D107" s="16"/>
    </row>
    <row r="108">
      <c r="B108" s="16"/>
      <c r="C108" s="16"/>
      <c r="D108" s="16"/>
    </row>
    <row r="109">
      <c r="B109" s="16"/>
      <c r="C109" s="16"/>
      <c r="D109" s="16"/>
    </row>
    <row r="110">
      <c r="B110" s="16"/>
      <c r="C110" s="16"/>
      <c r="D110" s="16"/>
    </row>
    <row r="111">
      <c r="B111" s="16"/>
      <c r="C111" s="16"/>
      <c r="D111" s="16"/>
    </row>
    <row r="112">
      <c r="B112" s="16"/>
      <c r="C112" s="16"/>
      <c r="D112" s="16"/>
    </row>
    <row r="113">
      <c r="B113" s="16"/>
      <c r="C113" s="16"/>
      <c r="D113" s="16"/>
    </row>
    <row r="114">
      <c r="B114" s="16"/>
      <c r="C114" s="16"/>
      <c r="D114" s="16"/>
    </row>
    <row r="115">
      <c r="B115" s="16"/>
      <c r="C115" s="16"/>
      <c r="D115" s="16"/>
    </row>
    <row r="116">
      <c r="B116" s="16"/>
      <c r="C116" s="16"/>
      <c r="D116" s="16"/>
    </row>
    <row r="117">
      <c r="B117" s="16"/>
      <c r="C117" s="16"/>
      <c r="D117" s="16"/>
    </row>
    <row r="118">
      <c r="B118" s="16"/>
      <c r="C118" s="16"/>
      <c r="D118" s="16"/>
    </row>
    <row r="119">
      <c r="B119" s="16"/>
      <c r="C119" s="16"/>
      <c r="D119" s="16"/>
    </row>
    <row r="120">
      <c r="B120" s="16"/>
      <c r="C120" s="16"/>
      <c r="D120" s="16"/>
    </row>
    <row r="121">
      <c r="B121" s="16"/>
      <c r="C121" s="16"/>
      <c r="D121" s="16"/>
    </row>
    <row r="122">
      <c r="B122" s="16"/>
      <c r="C122" s="16"/>
      <c r="D122" s="16"/>
    </row>
    <row r="123">
      <c r="B123" s="16"/>
      <c r="C123" s="16"/>
      <c r="D123" s="16"/>
    </row>
    <row r="124">
      <c r="B124" s="16"/>
      <c r="C124" s="16"/>
      <c r="D124" s="16"/>
    </row>
    <row r="125">
      <c r="B125" s="16"/>
      <c r="C125" s="16"/>
      <c r="D125" s="16"/>
    </row>
    <row r="126">
      <c r="B126" s="16"/>
      <c r="C126" s="16"/>
      <c r="D126" s="16"/>
    </row>
    <row r="127">
      <c r="B127" s="16"/>
      <c r="C127" s="16"/>
      <c r="D127" s="16"/>
    </row>
    <row r="128">
      <c r="B128" s="16"/>
      <c r="C128" s="16"/>
      <c r="D128" s="16"/>
    </row>
    <row r="129">
      <c r="B129" s="16"/>
      <c r="C129" s="16"/>
      <c r="D129" s="16"/>
    </row>
    <row r="130">
      <c r="B130" s="16"/>
      <c r="C130" s="16"/>
      <c r="D130" s="16"/>
    </row>
    <row r="131">
      <c r="B131" s="16"/>
      <c r="C131" s="16"/>
      <c r="D131" s="16"/>
    </row>
    <row r="132">
      <c r="B132" s="16"/>
      <c r="C132" s="16"/>
      <c r="D132" s="16"/>
    </row>
    <row r="133">
      <c r="B133" s="16"/>
      <c r="C133" s="16"/>
      <c r="D133" s="16"/>
    </row>
    <row r="134">
      <c r="B134" s="16"/>
      <c r="C134" s="16"/>
      <c r="D134" s="16"/>
    </row>
    <row r="135">
      <c r="B135" s="16"/>
      <c r="C135" s="16"/>
      <c r="D135" s="16"/>
    </row>
    <row r="136">
      <c r="B136" s="16"/>
      <c r="C136" s="16"/>
      <c r="D136" s="16"/>
    </row>
    <row r="137">
      <c r="B137" s="16"/>
      <c r="C137" s="16"/>
      <c r="D137" s="16"/>
    </row>
    <row r="138">
      <c r="B138" s="16"/>
      <c r="C138" s="16"/>
      <c r="D138" s="16"/>
    </row>
    <row r="139">
      <c r="B139" s="16"/>
      <c r="C139" s="16"/>
      <c r="D139" s="16"/>
    </row>
    <row r="140">
      <c r="B140" s="16"/>
      <c r="C140" s="16"/>
      <c r="D140" s="16"/>
    </row>
    <row r="141">
      <c r="B141" s="16"/>
      <c r="C141" s="16"/>
      <c r="D141" s="16"/>
    </row>
    <row r="142">
      <c r="B142" s="16"/>
      <c r="C142" s="16"/>
      <c r="D142" s="16"/>
    </row>
    <row r="143">
      <c r="B143" s="16"/>
      <c r="C143" s="16"/>
      <c r="D143" s="16"/>
    </row>
    <row r="144">
      <c r="B144" s="16"/>
      <c r="C144" s="16"/>
      <c r="D144" s="16"/>
    </row>
    <row r="145">
      <c r="B145" s="16"/>
      <c r="C145" s="16"/>
      <c r="D145" s="16"/>
    </row>
    <row r="146">
      <c r="B146" s="16"/>
      <c r="C146" s="16"/>
      <c r="D146" s="16"/>
    </row>
    <row r="147">
      <c r="B147" s="16"/>
      <c r="C147" s="16"/>
      <c r="D147" s="16"/>
    </row>
    <row r="148">
      <c r="B148" s="16"/>
      <c r="C148" s="16"/>
      <c r="D148" s="16"/>
    </row>
    <row r="149">
      <c r="B149" s="16"/>
      <c r="C149" s="16"/>
      <c r="D149" s="16"/>
    </row>
    <row r="150">
      <c r="B150" s="16"/>
      <c r="C150" s="16"/>
      <c r="D150" s="16"/>
    </row>
    <row r="151">
      <c r="B151" s="16"/>
      <c r="C151" s="16"/>
      <c r="D151" s="16"/>
    </row>
    <row r="152">
      <c r="B152" s="16"/>
      <c r="C152" s="16"/>
      <c r="D152" s="16"/>
    </row>
    <row r="153">
      <c r="B153" s="16"/>
      <c r="C153" s="16"/>
      <c r="D153" s="16"/>
    </row>
    <row r="154">
      <c r="B154" s="16"/>
      <c r="C154" s="16"/>
      <c r="D154" s="16"/>
    </row>
    <row r="155">
      <c r="B155" s="16"/>
      <c r="C155" s="16"/>
      <c r="D155" s="16"/>
    </row>
    <row r="156">
      <c r="B156" s="16"/>
      <c r="C156" s="16"/>
      <c r="D156" s="16"/>
    </row>
    <row r="157">
      <c r="B157" s="16"/>
      <c r="C157" s="16"/>
      <c r="D157" s="16"/>
    </row>
    <row r="158">
      <c r="B158" s="16"/>
      <c r="C158" s="16"/>
      <c r="D158" s="16"/>
    </row>
    <row r="159">
      <c r="B159" s="16"/>
      <c r="C159" s="16"/>
      <c r="D159" s="16"/>
    </row>
    <row r="160">
      <c r="B160" s="16"/>
      <c r="C160" s="16"/>
      <c r="D160" s="16"/>
    </row>
    <row r="161">
      <c r="B161" s="16"/>
      <c r="C161" s="16"/>
      <c r="D161" s="16"/>
    </row>
    <row r="162">
      <c r="B162" s="16"/>
      <c r="C162" s="16"/>
      <c r="D162" s="16"/>
    </row>
    <row r="163">
      <c r="B163" s="16"/>
      <c r="C163" s="16"/>
      <c r="D163" s="16"/>
    </row>
    <row r="164">
      <c r="B164" s="16"/>
      <c r="C164" s="16"/>
      <c r="D164" s="16"/>
    </row>
    <row r="165">
      <c r="B165" s="16"/>
      <c r="C165" s="16"/>
      <c r="D165" s="16"/>
    </row>
    <row r="166">
      <c r="B166" s="16"/>
      <c r="C166" s="16"/>
      <c r="D166" s="16"/>
    </row>
    <row r="167">
      <c r="B167" s="16"/>
      <c r="C167" s="16"/>
      <c r="D167" s="16"/>
    </row>
    <row r="168">
      <c r="B168" s="16"/>
      <c r="C168" s="16"/>
      <c r="D168" s="16"/>
    </row>
    <row r="169">
      <c r="B169" s="16"/>
      <c r="C169" s="16"/>
      <c r="D169" s="16"/>
    </row>
    <row r="170">
      <c r="B170" s="16"/>
      <c r="C170" s="16"/>
      <c r="D170" s="16"/>
    </row>
    <row r="171">
      <c r="B171" s="16"/>
      <c r="C171" s="16"/>
      <c r="D171" s="16"/>
    </row>
    <row r="172">
      <c r="B172" s="16"/>
      <c r="C172" s="16"/>
      <c r="D172" s="16"/>
    </row>
    <row r="173">
      <c r="B173" s="16"/>
      <c r="C173" s="16"/>
      <c r="D173" s="16"/>
    </row>
    <row r="174">
      <c r="B174" s="16"/>
      <c r="C174" s="16"/>
      <c r="D174" s="16"/>
    </row>
    <row r="175">
      <c r="B175" s="16"/>
      <c r="C175" s="16"/>
      <c r="D175" s="16"/>
    </row>
    <row r="176">
      <c r="B176" s="16"/>
      <c r="C176" s="16"/>
      <c r="D176" s="16"/>
    </row>
    <row r="177">
      <c r="B177" s="16"/>
      <c r="C177" s="16"/>
      <c r="D177" s="16"/>
    </row>
    <row r="178">
      <c r="B178" s="16"/>
      <c r="C178" s="16"/>
      <c r="D178" s="16"/>
    </row>
    <row r="179">
      <c r="B179" s="16"/>
      <c r="C179" s="16"/>
      <c r="D179" s="16"/>
    </row>
    <row r="180">
      <c r="B180" s="16"/>
      <c r="C180" s="16"/>
      <c r="D180" s="16"/>
    </row>
    <row r="181">
      <c r="B181" s="16"/>
      <c r="C181" s="16"/>
      <c r="D181" s="16"/>
    </row>
    <row r="182">
      <c r="B182" s="16"/>
      <c r="C182" s="16"/>
      <c r="D182" s="16"/>
    </row>
    <row r="183">
      <c r="B183" s="16"/>
      <c r="C183" s="16"/>
      <c r="D183" s="16"/>
    </row>
    <row r="184">
      <c r="B184" s="16"/>
      <c r="C184" s="16"/>
      <c r="D184" s="16"/>
    </row>
    <row r="185">
      <c r="B185" s="16"/>
      <c r="C185" s="16"/>
      <c r="D185" s="16"/>
    </row>
    <row r="186">
      <c r="B186" s="16"/>
      <c r="C186" s="16"/>
      <c r="D186" s="16"/>
    </row>
    <row r="187">
      <c r="B187" s="16"/>
      <c r="C187" s="16"/>
      <c r="D187" s="16"/>
    </row>
    <row r="188">
      <c r="B188" s="16"/>
      <c r="C188" s="16"/>
      <c r="D188" s="16"/>
    </row>
    <row r="189">
      <c r="B189" s="16"/>
      <c r="C189" s="16"/>
      <c r="D189" s="16"/>
    </row>
    <row r="190">
      <c r="B190" s="16"/>
      <c r="C190" s="16"/>
      <c r="D190" s="16"/>
    </row>
    <row r="191">
      <c r="B191" s="16"/>
      <c r="C191" s="16"/>
      <c r="D191" s="16"/>
    </row>
    <row r="192">
      <c r="B192" s="16"/>
      <c r="C192" s="16"/>
      <c r="D192" s="16"/>
    </row>
    <row r="193">
      <c r="B193" s="16"/>
      <c r="C193" s="16"/>
      <c r="D193" s="16"/>
    </row>
    <row r="194">
      <c r="B194" s="16"/>
      <c r="C194" s="16"/>
      <c r="D194" s="16"/>
    </row>
    <row r="195">
      <c r="B195" s="16"/>
      <c r="C195" s="16"/>
      <c r="D195" s="16"/>
    </row>
    <row r="196">
      <c r="B196" s="16"/>
      <c r="C196" s="16"/>
      <c r="D196" s="16"/>
    </row>
    <row r="197">
      <c r="B197" s="16"/>
      <c r="C197" s="16"/>
      <c r="D197" s="16"/>
    </row>
    <row r="198">
      <c r="B198" s="16"/>
      <c r="C198" s="16"/>
      <c r="D198" s="16"/>
    </row>
    <row r="199">
      <c r="B199" s="16"/>
      <c r="C199" s="16"/>
      <c r="D199" s="16"/>
    </row>
    <row r="200">
      <c r="B200" s="16"/>
      <c r="C200" s="16"/>
      <c r="D200" s="16"/>
    </row>
    <row r="201">
      <c r="B201" s="16"/>
      <c r="C201" s="16"/>
      <c r="D201" s="16"/>
    </row>
    <row r="202">
      <c r="B202" s="16"/>
      <c r="C202" s="16"/>
      <c r="D202" s="16"/>
    </row>
    <row r="203">
      <c r="B203" s="16"/>
      <c r="C203" s="16"/>
      <c r="D203" s="16"/>
    </row>
    <row r="204">
      <c r="B204" s="16"/>
      <c r="C204" s="16"/>
      <c r="D204" s="16"/>
    </row>
    <row r="205">
      <c r="B205" s="16"/>
      <c r="C205" s="16"/>
      <c r="D205" s="16"/>
    </row>
    <row r="206">
      <c r="B206" s="16"/>
      <c r="C206" s="16"/>
      <c r="D206" s="16"/>
    </row>
    <row r="207">
      <c r="B207" s="16"/>
      <c r="C207" s="16"/>
      <c r="D207" s="16"/>
    </row>
    <row r="208">
      <c r="B208" s="16"/>
      <c r="C208" s="16"/>
      <c r="D208" s="16"/>
    </row>
    <row r="209">
      <c r="B209" s="16"/>
      <c r="C209" s="16"/>
      <c r="D209" s="16"/>
    </row>
    <row r="210">
      <c r="B210" s="16"/>
      <c r="C210" s="16"/>
      <c r="D210" s="16"/>
    </row>
    <row r="211">
      <c r="B211" s="16"/>
      <c r="C211" s="16"/>
      <c r="D211" s="16"/>
    </row>
    <row r="212">
      <c r="B212" s="16"/>
      <c r="C212" s="16"/>
      <c r="D212" s="16"/>
    </row>
    <row r="213">
      <c r="B213" s="16"/>
      <c r="C213" s="16"/>
      <c r="D213" s="16"/>
    </row>
    <row r="214">
      <c r="B214" s="16"/>
      <c r="C214" s="16"/>
      <c r="D214" s="16"/>
    </row>
    <row r="215">
      <c r="B215" s="16"/>
      <c r="C215" s="16"/>
      <c r="D215" s="16"/>
    </row>
    <row r="216">
      <c r="B216" s="16"/>
      <c r="C216" s="16"/>
      <c r="D216" s="16"/>
    </row>
    <row r="217">
      <c r="B217" s="16"/>
      <c r="C217" s="16"/>
      <c r="D217" s="16"/>
    </row>
    <row r="218">
      <c r="B218" s="16"/>
      <c r="C218" s="16"/>
      <c r="D218" s="16"/>
    </row>
    <row r="219">
      <c r="B219" s="16"/>
      <c r="C219" s="16"/>
      <c r="D219" s="16"/>
    </row>
    <row r="220">
      <c r="B220" s="16"/>
      <c r="C220" s="16"/>
      <c r="D220" s="16"/>
    </row>
    <row r="221">
      <c r="B221" s="16"/>
      <c r="C221" s="16"/>
      <c r="D221" s="16"/>
    </row>
    <row r="222">
      <c r="B222" s="16"/>
      <c r="C222" s="16"/>
      <c r="D222" s="16"/>
    </row>
    <row r="223">
      <c r="B223" s="16"/>
      <c r="C223" s="16"/>
      <c r="D223" s="16"/>
    </row>
    <row r="224">
      <c r="B224" s="16"/>
      <c r="C224" s="16"/>
      <c r="D224" s="16"/>
    </row>
    <row r="225">
      <c r="B225" s="16"/>
      <c r="C225" s="16"/>
      <c r="D225" s="16"/>
    </row>
    <row r="226">
      <c r="B226" s="16"/>
      <c r="C226" s="16"/>
      <c r="D226" s="16"/>
    </row>
    <row r="227">
      <c r="B227" s="16"/>
      <c r="C227" s="16"/>
      <c r="D227" s="16"/>
    </row>
    <row r="228">
      <c r="B228" s="16"/>
      <c r="C228" s="16"/>
      <c r="D228" s="16"/>
    </row>
    <row r="229">
      <c r="B229" s="16"/>
      <c r="C229" s="16"/>
      <c r="D229" s="16"/>
    </row>
    <row r="230">
      <c r="B230" s="16"/>
      <c r="C230" s="16"/>
      <c r="D230" s="16"/>
    </row>
    <row r="231">
      <c r="B231" s="16"/>
      <c r="C231" s="16"/>
      <c r="D231" s="16"/>
    </row>
    <row r="232">
      <c r="B232" s="16"/>
      <c r="C232" s="16"/>
      <c r="D232" s="16"/>
    </row>
    <row r="233">
      <c r="B233" s="16"/>
      <c r="C233" s="16"/>
      <c r="D233" s="16"/>
    </row>
    <row r="234">
      <c r="B234" s="16"/>
      <c r="C234" s="16"/>
      <c r="D234" s="16"/>
    </row>
    <row r="235">
      <c r="B235" s="16"/>
      <c r="C235" s="16"/>
      <c r="D235" s="16"/>
    </row>
    <row r="236">
      <c r="B236" s="16"/>
      <c r="C236" s="16"/>
      <c r="D236" s="16"/>
    </row>
    <row r="237">
      <c r="B237" s="16"/>
      <c r="C237" s="16"/>
      <c r="D237" s="16"/>
    </row>
    <row r="238">
      <c r="B238" s="16"/>
      <c r="C238" s="16"/>
      <c r="D238" s="16"/>
    </row>
    <row r="239">
      <c r="B239" s="16"/>
      <c r="C239" s="16"/>
      <c r="D239" s="16"/>
    </row>
    <row r="240">
      <c r="B240" s="16"/>
      <c r="C240" s="16"/>
      <c r="D240" s="16"/>
    </row>
    <row r="241">
      <c r="B241" s="16"/>
      <c r="C241" s="16"/>
      <c r="D241" s="16"/>
    </row>
    <row r="242">
      <c r="B242" s="16"/>
      <c r="C242" s="16"/>
      <c r="D242" s="16"/>
    </row>
    <row r="243">
      <c r="B243" s="16"/>
      <c r="C243" s="16"/>
      <c r="D243" s="16"/>
    </row>
    <row r="244">
      <c r="B244" s="16"/>
      <c r="C244" s="16"/>
      <c r="D244" s="16"/>
    </row>
    <row r="245">
      <c r="B245" s="16"/>
      <c r="C245" s="16"/>
      <c r="D245" s="16"/>
    </row>
    <row r="246">
      <c r="B246" s="16"/>
      <c r="C246" s="16"/>
      <c r="D246" s="16"/>
    </row>
    <row r="247">
      <c r="B247" s="16"/>
      <c r="C247" s="16"/>
      <c r="D247" s="16"/>
    </row>
    <row r="248">
      <c r="B248" s="16"/>
      <c r="C248" s="16"/>
      <c r="D248" s="16"/>
    </row>
    <row r="249">
      <c r="B249" s="16"/>
      <c r="C249" s="16"/>
      <c r="D249" s="16"/>
    </row>
    <row r="250">
      <c r="B250" s="16"/>
      <c r="C250" s="16"/>
      <c r="D250" s="16"/>
    </row>
    <row r="251">
      <c r="B251" s="16"/>
      <c r="C251" s="16"/>
      <c r="D251" s="16"/>
    </row>
    <row r="252">
      <c r="B252" s="16"/>
      <c r="C252" s="16"/>
      <c r="D252" s="16"/>
    </row>
    <row r="253">
      <c r="B253" s="16"/>
      <c r="C253" s="16"/>
      <c r="D253" s="16"/>
    </row>
    <row r="254">
      <c r="B254" s="16"/>
      <c r="C254" s="16"/>
      <c r="D254" s="16"/>
    </row>
    <row r="255">
      <c r="B255" s="16"/>
      <c r="C255" s="16"/>
      <c r="D255" s="16"/>
    </row>
    <row r="256">
      <c r="B256" s="16"/>
      <c r="C256" s="16"/>
      <c r="D256" s="16"/>
    </row>
    <row r="257">
      <c r="B257" s="16"/>
      <c r="C257" s="16"/>
      <c r="D257" s="16"/>
    </row>
    <row r="258">
      <c r="B258" s="16"/>
      <c r="C258" s="16"/>
      <c r="D258" s="16"/>
    </row>
    <row r="259">
      <c r="B259" s="16"/>
      <c r="C259" s="16"/>
      <c r="D259" s="16"/>
    </row>
    <row r="260">
      <c r="B260" s="16"/>
      <c r="C260" s="16"/>
      <c r="D260" s="16"/>
    </row>
    <row r="261">
      <c r="B261" s="16"/>
      <c r="C261" s="16"/>
      <c r="D261" s="16"/>
    </row>
    <row r="262">
      <c r="B262" s="16"/>
      <c r="C262" s="16"/>
      <c r="D262" s="16"/>
    </row>
    <row r="263">
      <c r="B263" s="16"/>
      <c r="C263" s="16"/>
      <c r="D263" s="16"/>
    </row>
    <row r="264">
      <c r="B264" s="16"/>
      <c r="C264" s="16"/>
      <c r="D264" s="16"/>
    </row>
    <row r="265">
      <c r="B265" s="16"/>
      <c r="C265" s="16"/>
      <c r="D265" s="16"/>
    </row>
    <row r="266">
      <c r="B266" s="16"/>
      <c r="C266" s="16"/>
      <c r="D266" s="16"/>
    </row>
    <row r="267">
      <c r="B267" s="16"/>
      <c r="C267" s="16"/>
      <c r="D267" s="16"/>
    </row>
    <row r="268">
      <c r="B268" s="16"/>
      <c r="C268" s="16"/>
      <c r="D268" s="16"/>
    </row>
    <row r="269">
      <c r="B269" s="16"/>
      <c r="C269" s="16"/>
      <c r="D269" s="16"/>
    </row>
    <row r="270">
      <c r="B270" s="16"/>
      <c r="C270" s="16"/>
      <c r="D270" s="16"/>
    </row>
    <row r="271">
      <c r="B271" s="16"/>
      <c r="C271" s="16"/>
      <c r="D271" s="16"/>
    </row>
    <row r="272">
      <c r="B272" s="16"/>
      <c r="C272" s="16"/>
      <c r="D272" s="16"/>
    </row>
    <row r="273">
      <c r="B273" s="16"/>
      <c r="C273" s="16"/>
      <c r="D273" s="16"/>
    </row>
    <row r="274">
      <c r="B274" s="16"/>
      <c r="C274" s="16"/>
      <c r="D274" s="16"/>
    </row>
    <row r="275">
      <c r="B275" s="16"/>
      <c r="C275" s="16"/>
      <c r="D275" s="16"/>
    </row>
    <row r="276">
      <c r="B276" s="16"/>
      <c r="C276" s="16"/>
      <c r="D276" s="16"/>
    </row>
    <row r="277">
      <c r="B277" s="16"/>
      <c r="C277" s="16"/>
      <c r="D277" s="16"/>
    </row>
    <row r="278">
      <c r="B278" s="16"/>
      <c r="C278" s="16"/>
      <c r="D278" s="16"/>
    </row>
    <row r="279">
      <c r="B279" s="16"/>
      <c r="C279" s="16"/>
      <c r="D279" s="16"/>
    </row>
    <row r="280">
      <c r="B280" s="16"/>
      <c r="C280" s="16"/>
      <c r="D280" s="16"/>
    </row>
    <row r="281">
      <c r="B281" s="16"/>
      <c r="C281" s="16"/>
      <c r="D281" s="16"/>
    </row>
    <row r="282">
      <c r="B282" s="16"/>
      <c r="C282" s="16"/>
      <c r="D282" s="16"/>
    </row>
    <row r="283">
      <c r="B283" s="16"/>
      <c r="C283" s="16"/>
      <c r="D283" s="16"/>
    </row>
    <row r="284">
      <c r="B284" s="16"/>
      <c r="C284" s="16"/>
      <c r="D284" s="16"/>
    </row>
    <row r="285">
      <c r="B285" s="16"/>
      <c r="C285" s="16"/>
      <c r="D285" s="16"/>
    </row>
    <row r="286">
      <c r="B286" s="16"/>
      <c r="C286" s="16"/>
      <c r="D286" s="16"/>
    </row>
    <row r="287">
      <c r="B287" s="16"/>
      <c r="C287" s="16"/>
      <c r="D287" s="16"/>
    </row>
    <row r="288">
      <c r="B288" s="16"/>
      <c r="C288" s="16"/>
      <c r="D288" s="16"/>
    </row>
    <row r="289">
      <c r="B289" s="16"/>
      <c r="C289" s="16"/>
      <c r="D289" s="16"/>
    </row>
    <row r="290">
      <c r="B290" s="16"/>
      <c r="C290" s="16"/>
      <c r="D290" s="16"/>
    </row>
    <row r="291">
      <c r="B291" s="16"/>
      <c r="C291" s="16"/>
      <c r="D291" s="16"/>
    </row>
    <row r="292">
      <c r="B292" s="16"/>
      <c r="C292" s="16"/>
      <c r="D292" s="16"/>
    </row>
    <row r="293">
      <c r="B293" s="16"/>
      <c r="C293" s="16"/>
      <c r="D293" s="16"/>
    </row>
    <row r="294">
      <c r="B294" s="16"/>
      <c r="C294" s="16"/>
      <c r="D294" s="16"/>
    </row>
    <row r="295">
      <c r="B295" s="16"/>
      <c r="C295" s="16"/>
      <c r="D295" s="16"/>
    </row>
    <row r="296">
      <c r="B296" s="16"/>
      <c r="C296" s="16"/>
      <c r="D296" s="16"/>
    </row>
    <row r="297">
      <c r="B297" s="16"/>
      <c r="C297" s="16"/>
      <c r="D297" s="16"/>
    </row>
    <row r="298">
      <c r="B298" s="16"/>
      <c r="C298" s="16"/>
      <c r="D298" s="16"/>
    </row>
    <row r="299">
      <c r="B299" s="16"/>
      <c r="C299" s="16"/>
      <c r="D299" s="16"/>
    </row>
    <row r="300">
      <c r="B300" s="16"/>
      <c r="C300" s="16"/>
      <c r="D300" s="16"/>
    </row>
    <row r="301">
      <c r="B301" s="16"/>
      <c r="C301" s="16"/>
      <c r="D301" s="16"/>
    </row>
    <row r="302">
      <c r="B302" s="16"/>
      <c r="C302" s="16"/>
      <c r="D302" s="16"/>
    </row>
    <row r="303">
      <c r="B303" s="16"/>
      <c r="C303" s="16"/>
      <c r="D303" s="16"/>
    </row>
    <row r="304">
      <c r="B304" s="16"/>
      <c r="C304" s="16"/>
      <c r="D304" s="16"/>
    </row>
    <row r="305">
      <c r="B305" s="16"/>
      <c r="C305" s="16"/>
      <c r="D305" s="16"/>
    </row>
    <row r="306">
      <c r="B306" s="16"/>
      <c r="C306" s="16"/>
      <c r="D306" s="16"/>
    </row>
    <row r="307">
      <c r="B307" s="16"/>
      <c r="C307" s="16"/>
      <c r="D307" s="16"/>
    </row>
    <row r="308">
      <c r="B308" s="16"/>
      <c r="C308" s="16"/>
      <c r="D308" s="16"/>
    </row>
    <row r="309">
      <c r="B309" s="16"/>
      <c r="C309" s="16"/>
      <c r="D309" s="16"/>
    </row>
    <row r="310">
      <c r="B310" s="16"/>
      <c r="C310" s="16"/>
      <c r="D310" s="16"/>
    </row>
    <row r="311">
      <c r="B311" s="16"/>
      <c r="C311" s="16"/>
      <c r="D311" s="16"/>
    </row>
    <row r="312">
      <c r="B312" s="16"/>
      <c r="C312" s="16"/>
      <c r="D312" s="16"/>
    </row>
    <row r="313">
      <c r="B313" s="16"/>
      <c r="C313" s="16"/>
      <c r="D313" s="16"/>
    </row>
    <row r="314">
      <c r="B314" s="16"/>
      <c r="C314" s="16"/>
      <c r="D314" s="16"/>
    </row>
    <row r="315">
      <c r="B315" s="16"/>
      <c r="C315" s="16"/>
      <c r="D315" s="16"/>
    </row>
    <row r="316">
      <c r="B316" s="16"/>
      <c r="C316" s="16"/>
      <c r="D316" s="16"/>
    </row>
    <row r="317">
      <c r="B317" s="16"/>
      <c r="C317" s="16"/>
      <c r="D317" s="16"/>
    </row>
    <row r="318">
      <c r="B318" s="16"/>
      <c r="C318" s="16"/>
      <c r="D318" s="16"/>
    </row>
    <row r="319">
      <c r="B319" s="16"/>
      <c r="C319" s="16"/>
      <c r="D319" s="16"/>
    </row>
    <row r="320">
      <c r="B320" s="16"/>
      <c r="C320" s="16"/>
      <c r="D320" s="16"/>
    </row>
    <row r="321">
      <c r="B321" s="16"/>
      <c r="C321" s="16"/>
      <c r="D321" s="16"/>
    </row>
    <row r="322">
      <c r="B322" s="16"/>
      <c r="C322" s="16"/>
      <c r="D322" s="16"/>
    </row>
    <row r="323">
      <c r="B323" s="16"/>
      <c r="C323" s="16"/>
      <c r="D323" s="16"/>
    </row>
    <row r="324">
      <c r="B324" s="16"/>
      <c r="C324" s="16"/>
      <c r="D324" s="16"/>
    </row>
    <row r="325">
      <c r="B325" s="16"/>
      <c r="C325" s="16"/>
      <c r="D325" s="16"/>
    </row>
    <row r="326">
      <c r="B326" s="16"/>
      <c r="C326" s="16"/>
      <c r="D326" s="16"/>
    </row>
    <row r="327">
      <c r="B327" s="16"/>
      <c r="C327" s="16"/>
      <c r="D327" s="16"/>
    </row>
    <row r="328">
      <c r="B328" s="16"/>
      <c r="C328" s="16"/>
      <c r="D328" s="16"/>
    </row>
    <row r="329">
      <c r="B329" s="16"/>
      <c r="C329" s="16"/>
      <c r="D329" s="16"/>
    </row>
    <row r="330">
      <c r="B330" s="16"/>
      <c r="C330" s="16"/>
      <c r="D330" s="16"/>
    </row>
    <row r="331">
      <c r="B331" s="16"/>
      <c r="C331" s="16"/>
      <c r="D331" s="16"/>
    </row>
    <row r="332">
      <c r="B332" s="16"/>
      <c r="C332" s="16"/>
      <c r="D332" s="16"/>
    </row>
    <row r="333">
      <c r="B333" s="16"/>
      <c r="C333" s="16"/>
      <c r="D333" s="16"/>
    </row>
    <row r="334">
      <c r="B334" s="16"/>
      <c r="C334" s="16"/>
      <c r="D334" s="16"/>
    </row>
    <row r="335">
      <c r="B335" s="16"/>
      <c r="C335" s="16"/>
      <c r="D335" s="16"/>
    </row>
    <row r="336">
      <c r="B336" s="16"/>
      <c r="C336" s="16"/>
      <c r="D336" s="16"/>
    </row>
    <row r="337">
      <c r="B337" s="16"/>
      <c r="C337" s="16"/>
      <c r="D337" s="16"/>
    </row>
    <row r="338">
      <c r="B338" s="16"/>
      <c r="C338" s="16"/>
      <c r="D338" s="16"/>
    </row>
    <row r="339">
      <c r="B339" s="16"/>
      <c r="C339" s="16"/>
      <c r="D339" s="16"/>
    </row>
    <row r="340">
      <c r="B340" s="16"/>
      <c r="C340" s="16"/>
      <c r="D340" s="16"/>
    </row>
    <row r="341">
      <c r="B341" s="16"/>
      <c r="C341" s="16"/>
      <c r="D341" s="16"/>
    </row>
    <row r="342">
      <c r="B342" s="16"/>
      <c r="C342" s="16"/>
      <c r="D342" s="16"/>
    </row>
    <row r="343">
      <c r="B343" s="16"/>
      <c r="C343" s="16"/>
      <c r="D343" s="16"/>
    </row>
    <row r="344">
      <c r="B344" s="16"/>
      <c r="C344" s="16"/>
      <c r="D344" s="16"/>
    </row>
    <row r="345">
      <c r="B345" s="16"/>
      <c r="C345" s="16"/>
      <c r="D345" s="16"/>
    </row>
    <row r="346">
      <c r="B346" s="16"/>
      <c r="C346" s="16"/>
      <c r="D346" s="16"/>
    </row>
    <row r="347">
      <c r="B347" s="16"/>
      <c r="C347" s="16"/>
      <c r="D347" s="16"/>
    </row>
    <row r="348">
      <c r="B348" s="16"/>
      <c r="C348" s="16"/>
      <c r="D348" s="16"/>
    </row>
    <row r="349">
      <c r="B349" s="16"/>
      <c r="C349" s="16"/>
      <c r="D349" s="16"/>
    </row>
    <row r="350">
      <c r="B350" s="16"/>
      <c r="C350" s="16"/>
      <c r="D350" s="16"/>
    </row>
    <row r="351">
      <c r="B351" s="16"/>
      <c r="C351" s="16"/>
      <c r="D351" s="16"/>
    </row>
    <row r="352">
      <c r="B352" s="16"/>
      <c r="C352" s="16"/>
      <c r="D352" s="16"/>
    </row>
    <row r="353">
      <c r="B353" s="16"/>
      <c r="C353" s="16"/>
      <c r="D353" s="16"/>
    </row>
    <row r="354">
      <c r="B354" s="16"/>
      <c r="C354" s="16"/>
      <c r="D354" s="16"/>
    </row>
    <row r="355">
      <c r="B355" s="16"/>
      <c r="C355" s="16"/>
      <c r="D355" s="16"/>
    </row>
    <row r="356">
      <c r="B356" s="16"/>
      <c r="C356" s="16"/>
      <c r="D356" s="16"/>
    </row>
    <row r="357">
      <c r="B357" s="16"/>
      <c r="C357" s="16"/>
      <c r="D357" s="16"/>
    </row>
    <row r="358">
      <c r="B358" s="16"/>
      <c r="C358" s="16"/>
      <c r="D358" s="16"/>
    </row>
    <row r="359">
      <c r="B359" s="16"/>
      <c r="C359" s="16"/>
      <c r="D359" s="16"/>
    </row>
    <row r="360">
      <c r="B360" s="16"/>
      <c r="C360" s="16"/>
      <c r="D360" s="16"/>
    </row>
    <row r="361">
      <c r="B361" s="16"/>
      <c r="C361" s="16"/>
      <c r="D361" s="16"/>
    </row>
    <row r="362">
      <c r="B362" s="16"/>
      <c r="C362" s="16"/>
      <c r="D362" s="16"/>
    </row>
    <row r="363">
      <c r="B363" s="16"/>
      <c r="C363" s="16"/>
      <c r="D363" s="16"/>
    </row>
    <row r="364">
      <c r="B364" s="16"/>
      <c r="C364" s="16"/>
      <c r="D364" s="16"/>
    </row>
    <row r="365">
      <c r="B365" s="16"/>
      <c r="C365" s="16"/>
      <c r="D365" s="16"/>
    </row>
    <row r="366">
      <c r="B366" s="16"/>
      <c r="C366" s="16"/>
      <c r="D366" s="16"/>
    </row>
    <row r="367">
      <c r="B367" s="16"/>
      <c r="C367" s="16"/>
      <c r="D367" s="16"/>
    </row>
    <row r="368">
      <c r="B368" s="16"/>
      <c r="C368" s="16"/>
      <c r="D368" s="16"/>
    </row>
    <row r="369">
      <c r="B369" s="16"/>
      <c r="C369" s="16"/>
      <c r="D369" s="16"/>
    </row>
    <row r="370">
      <c r="B370" s="16"/>
      <c r="C370" s="16"/>
      <c r="D370" s="16"/>
    </row>
    <row r="371">
      <c r="B371" s="16"/>
      <c r="C371" s="16"/>
      <c r="D371" s="16"/>
    </row>
    <row r="372">
      <c r="B372" s="16"/>
      <c r="C372" s="16"/>
      <c r="D372" s="16"/>
    </row>
    <row r="373">
      <c r="B373" s="16"/>
      <c r="C373" s="16"/>
      <c r="D373" s="16"/>
    </row>
    <row r="374">
      <c r="B374" s="16"/>
      <c r="C374" s="16"/>
      <c r="D374" s="16"/>
    </row>
    <row r="375">
      <c r="B375" s="16"/>
      <c r="C375" s="16"/>
      <c r="D375" s="16"/>
    </row>
    <row r="376">
      <c r="B376" s="16"/>
      <c r="C376" s="16"/>
      <c r="D376" s="16"/>
    </row>
    <row r="377">
      <c r="B377" s="16"/>
      <c r="C377" s="16"/>
      <c r="D377" s="16"/>
    </row>
    <row r="378">
      <c r="B378" s="16"/>
      <c r="C378" s="16"/>
      <c r="D378" s="16"/>
    </row>
    <row r="379">
      <c r="B379" s="16"/>
      <c r="C379" s="16"/>
      <c r="D379" s="16"/>
    </row>
    <row r="380">
      <c r="B380" s="16"/>
      <c r="C380" s="16"/>
      <c r="D380" s="16"/>
    </row>
    <row r="381">
      <c r="B381" s="16"/>
      <c r="C381" s="16"/>
      <c r="D381" s="16"/>
    </row>
    <row r="382">
      <c r="B382" s="16"/>
      <c r="C382" s="16"/>
      <c r="D382" s="16"/>
    </row>
    <row r="383">
      <c r="B383" s="16"/>
      <c r="C383" s="16"/>
      <c r="D383" s="16"/>
    </row>
    <row r="384">
      <c r="B384" s="16"/>
      <c r="C384" s="16"/>
      <c r="D384" s="16"/>
    </row>
    <row r="385">
      <c r="B385" s="16"/>
      <c r="C385" s="16"/>
      <c r="D385" s="16"/>
    </row>
    <row r="386">
      <c r="B386" s="16"/>
      <c r="C386" s="16"/>
      <c r="D386" s="16"/>
    </row>
    <row r="387">
      <c r="B387" s="16"/>
      <c r="C387" s="16"/>
      <c r="D387" s="16"/>
    </row>
    <row r="388">
      <c r="B388" s="16"/>
      <c r="C388" s="16"/>
      <c r="D388" s="16"/>
    </row>
    <row r="389">
      <c r="B389" s="16"/>
      <c r="C389" s="16"/>
      <c r="D389" s="16"/>
    </row>
    <row r="390">
      <c r="B390" s="16"/>
      <c r="C390" s="16"/>
      <c r="D390" s="16"/>
    </row>
    <row r="391">
      <c r="B391" s="16"/>
      <c r="C391" s="16"/>
      <c r="D391" s="16"/>
    </row>
    <row r="392">
      <c r="B392" s="16"/>
      <c r="C392" s="16"/>
      <c r="D392" s="16"/>
    </row>
    <row r="393">
      <c r="B393" s="16"/>
      <c r="C393" s="16"/>
      <c r="D393" s="16"/>
    </row>
    <row r="394">
      <c r="B394" s="16"/>
      <c r="C394" s="16"/>
      <c r="D394" s="16"/>
    </row>
    <row r="395">
      <c r="B395" s="16"/>
      <c r="C395" s="16"/>
      <c r="D395" s="16"/>
    </row>
    <row r="396">
      <c r="B396" s="16"/>
      <c r="C396" s="16"/>
      <c r="D396" s="16"/>
    </row>
    <row r="397">
      <c r="B397" s="16"/>
      <c r="C397" s="16"/>
      <c r="D397" s="16"/>
    </row>
    <row r="398">
      <c r="B398" s="16"/>
      <c r="C398" s="16"/>
      <c r="D398" s="16"/>
    </row>
    <row r="399">
      <c r="B399" s="16"/>
      <c r="C399" s="16"/>
      <c r="D399" s="16"/>
    </row>
    <row r="400">
      <c r="B400" s="16"/>
      <c r="C400" s="16"/>
      <c r="D400" s="16"/>
    </row>
    <row r="401">
      <c r="B401" s="16"/>
      <c r="C401" s="16"/>
      <c r="D401" s="16"/>
    </row>
    <row r="402">
      <c r="B402" s="16"/>
      <c r="C402" s="16"/>
      <c r="D402" s="16"/>
    </row>
    <row r="403">
      <c r="B403" s="16"/>
      <c r="C403" s="16"/>
      <c r="D403" s="16"/>
    </row>
    <row r="404">
      <c r="B404" s="16"/>
      <c r="C404" s="16"/>
      <c r="D404" s="16"/>
    </row>
    <row r="405">
      <c r="B405" s="16"/>
      <c r="C405" s="16"/>
      <c r="D405" s="16"/>
    </row>
    <row r="406">
      <c r="B406" s="16"/>
      <c r="C406" s="16"/>
      <c r="D406" s="16"/>
    </row>
    <row r="407">
      <c r="B407" s="16"/>
      <c r="C407" s="16"/>
      <c r="D407" s="16"/>
    </row>
    <row r="408">
      <c r="B408" s="16"/>
      <c r="C408" s="16"/>
      <c r="D408" s="16"/>
    </row>
    <row r="409">
      <c r="B409" s="16"/>
      <c r="C409" s="16"/>
      <c r="D409" s="16"/>
    </row>
    <row r="410">
      <c r="B410" s="16"/>
      <c r="C410" s="16"/>
      <c r="D410" s="16"/>
    </row>
    <row r="411">
      <c r="B411" s="16"/>
      <c r="C411" s="16"/>
      <c r="D411" s="16"/>
    </row>
    <row r="412">
      <c r="B412" s="16"/>
      <c r="C412" s="16"/>
      <c r="D412" s="16"/>
    </row>
    <row r="413">
      <c r="B413" s="16"/>
      <c r="C413" s="16"/>
      <c r="D413" s="16"/>
    </row>
    <row r="414">
      <c r="B414" s="16"/>
      <c r="C414" s="16"/>
      <c r="D414" s="16"/>
    </row>
    <row r="415">
      <c r="B415" s="16"/>
      <c r="C415" s="16"/>
      <c r="D415" s="16"/>
    </row>
    <row r="416">
      <c r="B416" s="16"/>
      <c r="C416" s="16"/>
      <c r="D416" s="16"/>
    </row>
    <row r="417">
      <c r="B417" s="16"/>
      <c r="C417" s="16"/>
      <c r="D417" s="16"/>
    </row>
    <row r="418">
      <c r="B418" s="16"/>
      <c r="C418" s="16"/>
      <c r="D418" s="16"/>
    </row>
    <row r="419">
      <c r="B419" s="16"/>
      <c r="C419" s="16"/>
      <c r="D419" s="16"/>
    </row>
    <row r="420">
      <c r="B420" s="16"/>
      <c r="C420" s="16"/>
      <c r="D420" s="16"/>
    </row>
    <row r="421">
      <c r="B421" s="16"/>
      <c r="C421" s="16"/>
      <c r="D421" s="16"/>
    </row>
    <row r="422">
      <c r="B422" s="16"/>
      <c r="C422" s="16"/>
      <c r="D422" s="16"/>
    </row>
    <row r="423">
      <c r="B423" s="16"/>
      <c r="C423" s="16"/>
      <c r="D423" s="16"/>
    </row>
    <row r="424">
      <c r="B424" s="16"/>
      <c r="C424" s="16"/>
      <c r="D424" s="16"/>
    </row>
    <row r="425">
      <c r="B425" s="16"/>
      <c r="C425" s="16"/>
      <c r="D425" s="16"/>
    </row>
    <row r="426">
      <c r="B426" s="16"/>
      <c r="C426" s="16"/>
      <c r="D426" s="16"/>
    </row>
    <row r="427">
      <c r="B427" s="16"/>
      <c r="C427" s="16"/>
      <c r="D427" s="16"/>
    </row>
    <row r="428">
      <c r="B428" s="16"/>
      <c r="C428" s="16"/>
      <c r="D428" s="16"/>
    </row>
    <row r="429">
      <c r="B429" s="16"/>
      <c r="C429" s="16"/>
      <c r="D429" s="16"/>
    </row>
    <row r="430">
      <c r="B430" s="16"/>
      <c r="C430" s="16"/>
      <c r="D430" s="16"/>
    </row>
    <row r="431">
      <c r="B431" s="16"/>
      <c r="C431" s="16"/>
      <c r="D431" s="16"/>
    </row>
    <row r="432">
      <c r="B432" s="16"/>
      <c r="C432" s="16"/>
      <c r="D432" s="16"/>
    </row>
    <row r="433">
      <c r="B433" s="16"/>
      <c r="C433" s="16"/>
      <c r="D433" s="16"/>
    </row>
    <row r="434">
      <c r="B434" s="16"/>
      <c r="C434" s="16"/>
      <c r="D434" s="16"/>
    </row>
    <row r="435">
      <c r="B435" s="16"/>
      <c r="C435" s="16"/>
      <c r="D435" s="16"/>
    </row>
    <row r="436">
      <c r="B436" s="16"/>
      <c r="C436" s="16"/>
      <c r="D436" s="16"/>
    </row>
    <row r="437">
      <c r="B437" s="16"/>
      <c r="C437" s="16"/>
      <c r="D437" s="16"/>
    </row>
    <row r="438">
      <c r="B438" s="16"/>
      <c r="C438" s="16"/>
      <c r="D438" s="16"/>
    </row>
    <row r="439">
      <c r="B439" s="16"/>
      <c r="C439" s="16"/>
      <c r="D439" s="16"/>
    </row>
    <row r="440">
      <c r="B440" s="16"/>
      <c r="C440" s="16"/>
      <c r="D440" s="16"/>
    </row>
    <row r="441">
      <c r="B441" s="16"/>
      <c r="C441" s="16"/>
      <c r="D441" s="16"/>
    </row>
    <row r="442">
      <c r="B442" s="16"/>
      <c r="C442" s="16"/>
      <c r="D442" s="16"/>
    </row>
    <row r="443">
      <c r="B443" s="16"/>
      <c r="C443" s="16"/>
      <c r="D443" s="16"/>
    </row>
    <row r="444">
      <c r="B444" s="16"/>
      <c r="C444" s="16"/>
      <c r="D444" s="16"/>
    </row>
    <row r="445">
      <c r="B445" s="16"/>
      <c r="C445" s="16"/>
      <c r="D445" s="16"/>
    </row>
    <row r="446">
      <c r="B446" s="16"/>
      <c r="C446" s="16"/>
      <c r="D446" s="16"/>
    </row>
    <row r="447">
      <c r="B447" s="16"/>
      <c r="C447" s="16"/>
      <c r="D447" s="16"/>
    </row>
    <row r="448">
      <c r="B448" s="16"/>
      <c r="C448" s="16"/>
      <c r="D448" s="16"/>
    </row>
    <row r="449">
      <c r="B449" s="16"/>
      <c r="C449" s="16"/>
      <c r="D449" s="16"/>
    </row>
    <row r="450">
      <c r="B450" s="16"/>
      <c r="C450" s="16"/>
      <c r="D450" s="16"/>
    </row>
    <row r="451">
      <c r="B451" s="16"/>
      <c r="C451" s="16"/>
      <c r="D451" s="16"/>
    </row>
    <row r="452">
      <c r="B452" s="16"/>
      <c r="C452" s="16"/>
      <c r="D452" s="16"/>
    </row>
    <row r="453">
      <c r="B453" s="16"/>
      <c r="C453" s="16"/>
      <c r="D453" s="16"/>
    </row>
    <row r="454">
      <c r="B454" s="16"/>
      <c r="C454" s="16"/>
      <c r="D454" s="16"/>
    </row>
    <row r="455">
      <c r="B455" s="16"/>
      <c r="C455" s="16"/>
      <c r="D455" s="16"/>
    </row>
    <row r="456">
      <c r="B456" s="16"/>
      <c r="C456" s="16"/>
      <c r="D456" s="16"/>
    </row>
    <row r="457">
      <c r="B457" s="16"/>
      <c r="C457" s="16"/>
      <c r="D457" s="16"/>
    </row>
    <row r="458">
      <c r="B458" s="16"/>
      <c r="C458" s="16"/>
      <c r="D458" s="16"/>
    </row>
    <row r="459">
      <c r="B459" s="16"/>
      <c r="C459" s="16"/>
      <c r="D459" s="16"/>
    </row>
    <row r="460">
      <c r="B460" s="16"/>
      <c r="C460" s="16"/>
      <c r="D460" s="16"/>
    </row>
    <row r="461">
      <c r="B461" s="16"/>
      <c r="C461" s="16"/>
      <c r="D461" s="16"/>
    </row>
    <row r="462">
      <c r="B462" s="16"/>
      <c r="C462" s="16"/>
      <c r="D462" s="16"/>
    </row>
    <row r="463">
      <c r="B463" s="16"/>
      <c r="C463" s="16"/>
      <c r="D463" s="16"/>
    </row>
    <row r="464">
      <c r="B464" s="16"/>
      <c r="C464" s="16"/>
      <c r="D464" s="16"/>
    </row>
    <row r="465">
      <c r="B465" s="16"/>
      <c r="C465" s="16"/>
      <c r="D465" s="16"/>
    </row>
    <row r="466">
      <c r="B466" s="16"/>
      <c r="C466" s="16"/>
      <c r="D466" s="16"/>
    </row>
    <row r="467">
      <c r="B467" s="16"/>
      <c r="C467" s="16"/>
      <c r="D467" s="16"/>
    </row>
    <row r="468">
      <c r="B468" s="16"/>
      <c r="C468" s="16"/>
      <c r="D468" s="16"/>
    </row>
    <row r="469">
      <c r="B469" s="16"/>
      <c r="C469" s="16"/>
      <c r="D469" s="16"/>
    </row>
    <row r="470">
      <c r="B470" s="16"/>
      <c r="C470" s="16"/>
      <c r="D470" s="16"/>
    </row>
    <row r="471">
      <c r="B471" s="16"/>
      <c r="C471" s="16"/>
      <c r="D471" s="16"/>
    </row>
    <row r="472">
      <c r="B472" s="16"/>
      <c r="C472" s="16"/>
      <c r="D472" s="16"/>
    </row>
    <row r="473">
      <c r="B473" s="16"/>
      <c r="C473" s="16"/>
      <c r="D473" s="16"/>
    </row>
    <row r="474">
      <c r="B474" s="16"/>
      <c r="C474" s="16"/>
      <c r="D474" s="16"/>
    </row>
    <row r="475">
      <c r="B475" s="16"/>
      <c r="C475" s="16"/>
      <c r="D475" s="16"/>
    </row>
    <row r="476">
      <c r="B476" s="16"/>
      <c r="C476" s="16"/>
      <c r="D476" s="16"/>
    </row>
    <row r="477">
      <c r="B477" s="16"/>
      <c r="C477" s="16"/>
      <c r="D477" s="16"/>
    </row>
    <row r="478">
      <c r="B478" s="16"/>
      <c r="C478" s="16"/>
      <c r="D478" s="16"/>
    </row>
    <row r="479">
      <c r="B479" s="16"/>
      <c r="C479" s="16"/>
      <c r="D479" s="16"/>
    </row>
    <row r="480">
      <c r="B480" s="16"/>
      <c r="C480" s="16"/>
      <c r="D480" s="16"/>
    </row>
    <row r="481">
      <c r="B481" s="16"/>
      <c r="C481" s="16"/>
      <c r="D481" s="16"/>
    </row>
    <row r="482">
      <c r="B482" s="16"/>
      <c r="C482" s="16"/>
      <c r="D482" s="16"/>
    </row>
    <row r="483">
      <c r="B483" s="16"/>
      <c r="C483" s="16"/>
      <c r="D483" s="16"/>
    </row>
    <row r="484">
      <c r="B484" s="16"/>
      <c r="C484" s="16"/>
      <c r="D484" s="16"/>
    </row>
    <row r="485">
      <c r="B485" s="16"/>
      <c r="C485" s="16"/>
      <c r="D485" s="16"/>
    </row>
    <row r="486">
      <c r="B486" s="16"/>
      <c r="C486" s="16"/>
      <c r="D486" s="16"/>
    </row>
    <row r="487">
      <c r="B487" s="16"/>
      <c r="C487" s="16"/>
      <c r="D487" s="16"/>
    </row>
    <row r="488">
      <c r="B488" s="16"/>
      <c r="C488" s="16"/>
      <c r="D488" s="16"/>
    </row>
    <row r="489">
      <c r="B489" s="16"/>
      <c r="C489" s="16"/>
      <c r="D489" s="16"/>
    </row>
    <row r="490">
      <c r="B490" s="16"/>
      <c r="C490" s="16"/>
      <c r="D490" s="16"/>
    </row>
    <row r="491">
      <c r="B491" s="16"/>
      <c r="C491" s="16"/>
      <c r="D491" s="16"/>
    </row>
    <row r="492">
      <c r="B492" s="16"/>
      <c r="C492" s="16"/>
      <c r="D492" s="16"/>
    </row>
    <row r="493">
      <c r="B493" s="16"/>
      <c r="C493" s="16"/>
      <c r="D493" s="16"/>
    </row>
    <row r="494">
      <c r="B494" s="16"/>
      <c r="C494" s="16"/>
      <c r="D494" s="16"/>
    </row>
    <row r="495">
      <c r="B495" s="16"/>
      <c r="C495" s="16"/>
      <c r="D495" s="16"/>
    </row>
    <row r="496">
      <c r="B496" s="16"/>
      <c r="C496" s="16"/>
      <c r="D496" s="16"/>
    </row>
    <row r="497">
      <c r="B497" s="16"/>
      <c r="C497" s="16"/>
      <c r="D497" s="16"/>
    </row>
    <row r="498">
      <c r="B498" s="16"/>
      <c r="C498" s="16"/>
      <c r="D498" s="16"/>
    </row>
    <row r="499">
      <c r="B499" s="16"/>
      <c r="C499" s="16"/>
      <c r="D499" s="16"/>
    </row>
    <row r="500">
      <c r="B500" s="16"/>
      <c r="C500" s="16"/>
      <c r="D500" s="16"/>
    </row>
    <row r="501">
      <c r="B501" s="16"/>
      <c r="C501" s="16"/>
      <c r="D501" s="16"/>
    </row>
    <row r="502">
      <c r="B502" s="16"/>
      <c r="C502" s="16"/>
      <c r="D502" s="16"/>
    </row>
    <row r="503">
      <c r="B503" s="16"/>
      <c r="C503" s="16"/>
      <c r="D503" s="16"/>
    </row>
    <row r="504">
      <c r="B504" s="16"/>
      <c r="C504" s="16"/>
      <c r="D504" s="16"/>
    </row>
    <row r="505">
      <c r="B505" s="16"/>
      <c r="C505" s="16"/>
      <c r="D505" s="16"/>
    </row>
    <row r="506">
      <c r="B506" s="16"/>
      <c r="C506" s="16"/>
      <c r="D506" s="16"/>
    </row>
    <row r="507">
      <c r="B507" s="16"/>
      <c r="C507" s="16"/>
      <c r="D507" s="16"/>
    </row>
    <row r="508">
      <c r="B508" s="16"/>
      <c r="C508" s="16"/>
      <c r="D508" s="16"/>
    </row>
    <row r="509">
      <c r="B509" s="16"/>
      <c r="C509" s="16"/>
      <c r="D509" s="16"/>
    </row>
    <row r="510">
      <c r="B510" s="16"/>
      <c r="C510" s="16"/>
      <c r="D510" s="16"/>
    </row>
    <row r="511">
      <c r="B511" s="16"/>
      <c r="C511" s="16"/>
      <c r="D511" s="16"/>
    </row>
    <row r="512">
      <c r="B512" s="16"/>
      <c r="C512" s="16"/>
      <c r="D512" s="16"/>
    </row>
    <row r="513">
      <c r="B513" s="16"/>
      <c r="C513" s="16"/>
      <c r="D513" s="16"/>
    </row>
    <row r="514">
      <c r="B514" s="16"/>
      <c r="C514" s="16"/>
      <c r="D514" s="16"/>
    </row>
    <row r="515">
      <c r="B515" s="16"/>
      <c r="C515" s="16"/>
      <c r="D515" s="16"/>
    </row>
    <row r="516">
      <c r="B516" s="16"/>
      <c r="C516" s="16"/>
      <c r="D516" s="16"/>
    </row>
    <row r="517">
      <c r="B517" s="16"/>
      <c r="C517" s="16"/>
      <c r="D517" s="16"/>
    </row>
    <row r="518">
      <c r="B518" s="16"/>
      <c r="C518" s="16"/>
      <c r="D518" s="16"/>
    </row>
    <row r="519">
      <c r="B519" s="16"/>
      <c r="C519" s="16"/>
      <c r="D519" s="16"/>
    </row>
    <row r="520">
      <c r="B520" s="16"/>
      <c r="C520" s="16"/>
      <c r="D520" s="16"/>
    </row>
    <row r="521">
      <c r="B521" s="16"/>
      <c r="C521" s="16"/>
      <c r="D521" s="16"/>
    </row>
    <row r="522">
      <c r="B522" s="16"/>
      <c r="C522" s="16"/>
      <c r="D522" s="16"/>
    </row>
    <row r="523">
      <c r="B523" s="16"/>
      <c r="C523" s="16"/>
      <c r="D523" s="16"/>
    </row>
    <row r="524">
      <c r="B524" s="16"/>
      <c r="C524" s="16"/>
      <c r="D524" s="16"/>
    </row>
    <row r="525">
      <c r="B525" s="16"/>
      <c r="C525" s="16"/>
      <c r="D525" s="16"/>
    </row>
    <row r="526">
      <c r="B526" s="16"/>
      <c r="C526" s="16"/>
      <c r="D526" s="16"/>
    </row>
    <row r="527">
      <c r="B527" s="16"/>
      <c r="C527" s="16"/>
      <c r="D527" s="16"/>
    </row>
    <row r="528">
      <c r="B528" s="16"/>
      <c r="C528" s="16"/>
      <c r="D528" s="16"/>
    </row>
    <row r="529">
      <c r="B529" s="16"/>
      <c r="C529" s="16"/>
      <c r="D529" s="16"/>
    </row>
    <row r="530">
      <c r="B530" s="16"/>
      <c r="C530" s="16"/>
      <c r="D530" s="16"/>
    </row>
    <row r="531">
      <c r="B531" s="16"/>
      <c r="C531" s="16"/>
      <c r="D531" s="16"/>
    </row>
    <row r="532">
      <c r="B532" s="16"/>
      <c r="C532" s="16"/>
      <c r="D532" s="16"/>
    </row>
    <row r="533">
      <c r="B533" s="16"/>
      <c r="C533" s="16"/>
      <c r="D533" s="16"/>
    </row>
    <row r="534">
      <c r="B534" s="16"/>
      <c r="C534" s="16"/>
      <c r="D534" s="16"/>
    </row>
    <row r="535">
      <c r="B535" s="16"/>
      <c r="C535" s="16"/>
      <c r="D535" s="16"/>
    </row>
    <row r="536">
      <c r="B536" s="16"/>
      <c r="C536" s="16"/>
      <c r="D536" s="16"/>
    </row>
    <row r="537">
      <c r="B537" s="16"/>
      <c r="C537" s="16"/>
      <c r="D537" s="16"/>
    </row>
    <row r="538">
      <c r="B538" s="16"/>
      <c r="C538" s="16"/>
      <c r="D538" s="16"/>
    </row>
    <row r="539">
      <c r="B539" s="16"/>
      <c r="C539" s="16"/>
      <c r="D539" s="16"/>
    </row>
    <row r="540">
      <c r="B540" s="16"/>
      <c r="C540" s="16"/>
      <c r="D540" s="16"/>
    </row>
    <row r="541">
      <c r="B541" s="16"/>
      <c r="C541" s="16"/>
      <c r="D541" s="16"/>
    </row>
    <row r="542">
      <c r="B542" s="16"/>
      <c r="C542" s="16"/>
      <c r="D542" s="16"/>
    </row>
    <row r="543">
      <c r="B543" s="16"/>
      <c r="C543" s="16"/>
      <c r="D543" s="16"/>
    </row>
    <row r="544">
      <c r="B544" s="16"/>
      <c r="C544" s="16"/>
      <c r="D544" s="16"/>
    </row>
    <row r="545">
      <c r="B545" s="16"/>
      <c r="C545" s="16"/>
      <c r="D545" s="16"/>
    </row>
    <row r="546">
      <c r="B546" s="16"/>
      <c r="C546" s="16"/>
      <c r="D546" s="16"/>
    </row>
    <row r="547">
      <c r="B547" s="16"/>
      <c r="C547" s="16"/>
      <c r="D547" s="16"/>
    </row>
    <row r="548">
      <c r="B548" s="16"/>
      <c r="C548" s="16"/>
      <c r="D548" s="16"/>
    </row>
    <row r="549">
      <c r="B549" s="16"/>
      <c r="C549" s="16"/>
      <c r="D549" s="16"/>
    </row>
    <row r="550">
      <c r="B550" s="16"/>
      <c r="C550" s="16"/>
      <c r="D550" s="16"/>
    </row>
    <row r="551">
      <c r="B551" s="16"/>
      <c r="C551" s="16"/>
      <c r="D551" s="16"/>
    </row>
    <row r="552">
      <c r="B552" s="16"/>
      <c r="C552" s="16"/>
      <c r="D552" s="16"/>
    </row>
    <row r="553">
      <c r="B553" s="16"/>
      <c r="C553" s="16"/>
      <c r="D553" s="16"/>
    </row>
    <row r="554">
      <c r="B554" s="16"/>
      <c r="C554" s="16"/>
      <c r="D554" s="16"/>
    </row>
    <row r="555">
      <c r="B555" s="16"/>
      <c r="C555" s="16"/>
      <c r="D555" s="16"/>
    </row>
    <row r="556">
      <c r="B556" s="16"/>
      <c r="C556" s="16"/>
      <c r="D556" s="16"/>
    </row>
    <row r="557">
      <c r="B557" s="16"/>
      <c r="C557" s="16"/>
      <c r="D557" s="16"/>
    </row>
    <row r="558">
      <c r="B558" s="16"/>
      <c r="C558" s="16"/>
      <c r="D558" s="16"/>
    </row>
    <row r="559">
      <c r="B559" s="16"/>
      <c r="C559" s="16"/>
      <c r="D559" s="16"/>
    </row>
    <row r="560">
      <c r="B560" s="16"/>
      <c r="C560" s="16"/>
      <c r="D560" s="16"/>
    </row>
    <row r="561">
      <c r="B561" s="16"/>
      <c r="C561" s="16"/>
      <c r="D561" s="16"/>
    </row>
    <row r="562">
      <c r="B562" s="16"/>
      <c r="C562" s="16"/>
      <c r="D562" s="16"/>
    </row>
    <row r="563">
      <c r="B563" s="16"/>
      <c r="C563" s="16"/>
      <c r="D563" s="16"/>
    </row>
    <row r="564">
      <c r="B564" s="16"/>
      <c r="C564" s="16"/>
      <c r="D564" s="16"/>
    </row>
    <row r="565">
      <c r="B565" s="16"/>
      <c r="C565" s="16"/>
      <c r="D565" s="16"/>
    </row>
    <row r="566">
      <c r="B566" s="16"/>
      <c r="C566" s="16"/>
      <c r="D566" s="16"/>
    </row>
    <row r="567">
      <c r="B567" s="16"/>
      <c r="C567" s="16"/>
      <c r="D567" s="16"/>
    </row>
    <row r="568">
      <c r="B568" s="16"/>
      <c r="C568" s="16"/>
      <c r="D568" s="16"/>
    </row>
    <row r="569">
      <c r="B569" s="16"/>
      <c r="C569" s="16"/>
      <c r="D569" s="16"/>
    </row>
    <row r="570">
      <c r="B570" s="16"/>
      <c r="C570" s="16"/>
      <c r="D570" s="16"/>
    </row>
    <row r="571">
      <c r="B571" s="16"/>
      <c r="C571" s="16"/>
      <c r="D571" s="16"/>
    </row>
    <row r="572">
      <c r="B572" s="16"/>
      <c r="C572" s="16"/>
      <c r="D572" s="16"/>
    </row>
    <row r="573">
      <c r="B573" s="16"/>
      <c r="C573" s="16"/>
      <c r="D573" s="16"/>
    </row>
    <row r="574">
      <c r="B574" s="16"/>
      <c r="C574" s="16"/>
      <c r="D574" s="16"/>
    </row>
    <row r="575">
      <c r="B575" s="16"/>
      <c r="C575" s="16"/>
      <c r="D575" s="16"/>
    </row>
    <row r="576">
      <c r="B576" s="16"/>
      <c r="C576" s="16"/>
      <c r="D576" s="16"/>
    </row>
    <row r="577">
      <c r="B577" s="16"/>
      <c r="C577" s="16"/>
      <c r="D577" s="16"/>
    </row>
    <row r="578">
      <c r="B578" s="16"/>
      <c r="C578" s="16"/>
      <c r="D578" s="16"/>
    </row>
    <row r="579">
      <c r="B579" s="16"/>
      <c r="C579" s="16"/>
      <c r="D579" s="16"/>
    </row>
    <row r="580">
      <c r="B580" s="16"/>
      <c r="C580" s="16"/>
      <c r="D580" s="16"/>
    </row>
    <row r="581">
      <c r="B581" s="16"/>
      <c r="C581" s="16"/>
      <c r="D581" s="16"/>
    </row>
    <row r="582">
      <c r="B582" s="16"/>
      <c r="C582" s="16"/>
      <c r="D582" s="16"/>
    </row>
    <row r="583">
      <c r="B583" s="16"/>
      <c r="C583" s="16"/>
      <c r="D583" s="16"/>
    </row>
    <row r="584">
      <c r="B584" s="16"/>
      <c r="C584" s="16"/>
      <c r="D584" s="16"/>
    </row>
    <row r="585">
      <c r="B585" s="16"/>
      <c r="C585" s="16"/>
      <c r="D585" s="16"/>
    </row>
    <row r="586">
      <c r="B586" s="16"/>
      <c r="C586" s="16"/>
      <c r="D586" s="16"/>
    </row>
    <row r="587">
      <c r="B587" s="16"/>
      <c r="C587" s="16"/>
      <c r="D587" s="16"/>
    </row>
    <row r="588">
      <c r="B588" s="16"/>
      <c r="C588" s="16"/>
      <c r="D588" s="16"/>
    </row>
    <row r="589">
      <c r="B589" s="16"/>
      <c r="C589" s="16"/>
      <c r="D589" s="16"/>
    </row>
    <row r="590">
      <c r="B590" s="16"/>
      <c r="C590" s="16"/>
      <c r="D590" s="16"/>
    </row>
    <row r="591">
      <c r="B591" s="16"/>
      <c r="C591" s="16"/>
      <c r="D591" s="16"/>
    </row>
    <row r="592">
      <c r="B592" s="16"/>
      <c r="C592" s="16"/>
      <c r="D592" s="16"/>
    </row>
    <row r="593">
      <c r="B593" s="16"/>
      <c r="C593" s="16"/>
      <c r="D593" s="16"/>
    </row>
    <row r="594">
      <c r="B594" s="16"/>
      <c r="C594" s="16"/>
      <c r="D594" s="16"/>
    </row>
    <row r="595">
      <c r="B595" s="16"/>
      <c r="C595" s="16"/>
      <c r="D595" s="16"/>
    </row>
    <row r="596">
      <c r="B596" s="16"/>
      <c r="C596" s="16"/>
      <c r="D596" s="16"/>
    </row>
    <row r="597">
      <c r="B597" s="16"/>
      <c r="C597" s="16"/>
      <c r="D597" s="16"/>
    </row>
    <row r="598">
      <c r="B598" s="16"/>
      <c r="C598" s="16"/>
      <c r="D598" s="16"/>
    </row>
    <row r="599">
      <c r="B599" s="16"/>
      <c r="C599" s="16"/>
      <c r="D599" s="16"/>
    </row>
    <row r="600">
      <c r="B600" s="16"/>
      <c r="C600" s="16"/>
      <c r="D600" s="16"/>
    </row>
    <row r="601">
      <c r="B601" s="16"/>
      <c r="C601" s="16"/>
      <c r="D601" s="16"/>
    </row>
    <row r="602">
      <c r="B602" s="16"/>
      <c r="C602" s="16"/>
      <c r="D602" s="16"/>
    </row>
    <row r="603">
      <c r="B603" s="16"/>
      <c r="C603" s="16"/>
      <c r="D603" s="16"/>
    </row>
    <row r="604">
      <c r="B604" s="16"/>
      <c r="C604" s="16"/>
      <c r="D604" s="16"/>
    </row>
    <row r="605">
      <c r="B605" s="16"/>
      <c r="C605" s="16"/>
      <c r="D605" s="16"/>
    </row>
    <row r="606">
      <c r="B606" s="16"/>
      <c r="C606" s="16"/>
      <c r="D606" s="16"/>
    </row>
    <row r="607">
      <c r="B607" s="16"/>
      <c r="C607" s="16"/>
      <c r="D607" s="16"/>
    </row>
    <row r="608">
      <c r="B608" s="16"/>
      <c r="C608" s="16"/>
      <c r="D608" s="16"/>
    </row>
    <row r="609">
      <c r="B609" s="16"/>
      <c r="C609" s="16"/>
      <c r="D609" s="16"/>
    </row>
    <row r="610">
      <c r="B610" s="16"/>
      <c r="C610" s="16"/>
      <c r="D610" s="16"/>
    </row>
    <row r="611">
      <c r="B611" s="16"/>
      <c r="C611" s="16"/>
      <c r="D611" s="16"/>
    </row>
    <row r="612">
      <c r="B612" s="16"/>
      <c r="C612" s="16"/>
      <c r="D612" s="16"/>
    </row>
    <row r="613">
      <c r="B613" s="16"/>
      <c r="C613" s="16"/>
      <c r="D613" s="16"/>
    </row>
    <row r="614">
      <c r="B614" s="16"/>
      <c r="C614" s="16"/>
      <c r="D614" s="16"/>
    </row>
    <row r="615">
      <c r="B615" s="16"/>
      <c r="C615" s="16"/>
      <c r="D615" s="16"/>
    </row>
    <row r="616">
      <c r="B616" s="16"/>
      <c r="C616" s="16"/>
      <c r="D616" s="16"/>
    </row>
    <row r="617">
      <c r="B617" s="16"/>
      <c r="C617" s="16"/>
      <c r="D617" s="16"/>
    </row>
    <row r="618">
      <c r="B618" s="16"/>
      <c r="C618" s="16"/>
      <c r="D618" s="16"/>
    </row>
    <row r="619">
      <c r="B619" s="16"/>
      <c r="C619" s="16"/>
      <c r="D619" s="16"/>
    </row>
    <row r="620">
      <c r="B620" s="16"/>
      <c r="C620" s="16"/>
      <c r="D620" s="16"/>
    </row>
    <row r="621">
      <c r="B621" s="16"/>
      <c r="C621" s="16"/>
      <c r="D621" s="16"/>
    </row>
    <row r="622">
      <c r="B622" s="16"/>
      <c r="C622" s="16"/>
      <c r="D622" s="16"/>
    </row>
    <row r="623">
      <c r="B623" s="16"/>
      <c r="C623" s="16"/>
      <c r="D623" s="16"/>
    </row>
    <row r="624">
      <c r="B624" s="16"/>
      <c r="C624" s="16"/>
      <c r="D624" s="16"/>
    </row>
    <row r="625">
      <c r="B625" s="16"/>
      <c r="C625" s="16"/>
      <c r="D625" s="16"/>
    </row>
    <row r="626">
      <c r="B626" s="16"/>
      <c r="C626" s="16"/>
      <c r="D626" s="16"/>
    </row>
    <row r="627">
      <c r="B627" s="16"/>
      <c r="C627" s="16"/>
      <c r="D627" s="16"/>
    </row>
    <row r="628">
      <c r="B628" s="16"/>
      <c r="C628" s="16"/>
      <c r="D628" s="16"/>
    </row>
    <row r="629">
      <c r="B629" s="16"/>
      <c r="C629" s="16"/>
      <c r="D629" s="16"/>
    </row>
    <row r="630">
      <c r="B630" s="16"/>
      <c r="C630" s="16"/>
      <c r="D630" s="16"/>
    </row>
    <row r="631">
      <c r="B631" s="16"/>
      <c r="C631" s="16"/>
      <c r="D631" s="16"/>
    </row>
    <row r="632">
      <c r="B632" s="16"/>
      <c r="C632" s="16"/>
      <c r="D632" s="16"/>
    </row>
    <row r="633">
      <c r="B633" s="16"/>
      <c r="C633" s="16"/>
      <c r="D633" s="16"/>
    </row>
    <row r="634">
      <c r="B634" s="16"/>
      <c r="C634" s="16"/>
      <c r="D634" s="16"/>
    </row>
    <row r="635">
      <c r="B635" s="16"/>
      <c r="C635" s="16"/>
      <c r="D635" s="16"/>
    </row>
    <row r="636">
      <c r="B636" s="16"/>
      <c r="C636" s="16"/>
      <c r="D636" s="16"/>
    </row>
    <row r="637">
      <c r="B637" s="16"/>
      <c r="C637" s="16"/>
      <c r="D637" s="16"/>
    </row>
    <row r="638">
      <c r="B638" s="16"/>
      <c r="C638" s="16"/>
      <c r="D638" s="16"/>
    </row>
    <row r="639">
      <c r="B639" s="16"/>
      <c r="C639" s="16"/>
      <c r="D639" s="16"/>
    </row>
    <row r="640">
      <c r="B640" s="16"/>
      <c r="C640" s="16"/>
      <c r="D640" s="16"/>
    </row>
    <row r="641">
      <c r="B641" s="16"/>
      <c r="C641" s="16"/>
      <c r="D641" s="16"/>
    </row>
    <row r="642">
      <c r="B642" s="16"/>
      <c r="C642" s="16"/>
      <c r="D642" s="16"/>
    </row>
    <row r="643">
      <c r="B643" s="16"/>
      <c r="C643" s="16"/>
      <c r="D643" s="16"/>
    </row>
    <row r="644">
      <c r="B644" s="16"/>
      <c r="C644" s="16"/>
      <c r="D644" s="16"/>
    </row>
    <row r="645">
      <c r="B645" s="16"/>
      <c r="C645" s="16"/>
      <c r="D645" s="16"/>
    </row>
    <row r="646">
      <c r="B646" s="16"/>
      <c r="C646" s="16"/>
      <c r="D646" s="16"/>
    </row>
    <row r="647">
      <c r="B647" s="16"/>
      <c r="C647" s="16"/>
      <c r="D647" s="16"/>
    </row>
    <row r="648">
      <c r="B648" s="16"/>
      <c r="C648" s="16"/>
      <c r="D648" s="16"/>
    </row>
    <row r="649">
      <c r="B649" s="16"/>
      <c r="C649" s="16"/>
      <c r="D649" s="16"/>
    </row>
    <row r="650">
      <c r="B650" s="16"/>
      <c r="C650" s="16"/>
      <c r="D650" s="16"/>
    </row>
    <row r="651">
      <c r="B651" s="16"/>
      <c r="C651" s="16"/>
      <c r="D651" s="16"/>
    </row>
    <row r="652">
      <c r="B652" s="16"/>
      <c r="C652" s="16"/>
      <c r="D652" s="16"/>
    </row>
    <row r="653">
      <c r="B653" s="16"/>
      <c r="C653" s="16"/>
      <c r="D653" s="16"/>
    </row>
    <row r="654">
      <c r="B654" s="16"/>
      <c r="C654" s="16"/>
      <c r="D654" s="16"/>
    </row>
    <row r="655">
      <c r="B655" s="16"/>
      <c r="C655" s="16"/>
      <c r="D655" s="16"/>
    </row>
    <row r="656">
      <c r="B656" s="16"/>
      <c r="C656" s="16"/>
      <c r="D656" s="16"/>
    </row>
    <row r="657">
      <c r="B657" s="16"/>
      <c r="C657" s="16"/>
      <c r="D657" s="16"/>
    </row>
    <row r="658">
      <c r="B658" s="16"/>
      <c r="C658" s="16"/>
      <c r="D658" s="16"/>
    </row>
    <row r="659">
      <c r="B659" s="16"/>
      <c r="C659" s="16"/>
      <c r="D659" s="16"/>
    </row>
    <row r="660">
      <c r="B660" s="16"/>
      <c r="C660" s="16"/>
      <c r="D660" s="16"/>
    </row>
    <row r="661">
      <c r="B661" s="16"/>
      <c r="C661" s="16"/>
      <c r="D661" s="16"/>
    </row>
    <row r="662">
      <c r="B662" s="16"/>
      <c r="C662" s="16"/>
      <c r="D662" s="16"/>
    </row>
    <row r="663">
      <c r="B663" s="16"/>
      <c r="C663" s="16"/>
      <c r="D663" s="16"/>
    </row>
    <row r="664">
      <c r="B664" s="16"/>
      <c r="C664" s="16"/>
      <c r="D664" s="16"/>
    </row>
    <row r="665">
      <c r="B665" s="16"/>
      <c r="C665" s="16"/>
      <c r="D665" s="16"/>
    </row>
    <row r="666">
      <c r="B666" s="16"/>
      <c r="C666" s="16"/>
      <c r="D666" s="16"/>
    </row>
    <row r="667">
      <c r="B667" s="16"/>
      <c r="C667" s="16"/>
      <c r="D667" s="16"/>
    </row>
    <row r="668">
      <c r="B668" s="16"/>
      <c r="C668" s="16"/>
      <c r="D668" s="16"/>
    </row>
    <row r="669">
      <c r="B669" s="16"/>
      <c r="C669" s="16"/>
      <c r="D669" s="16"/>
    </row>
    <row r="670">
      <c r="B670" s="16"/>
      <c r="C670" s="16"/>
      <c r="D670" s="16"/>
    </row>
    <row r="671">
      <c r="B671" s="16"/>
      <c r="C671" s="16"/>
      <c r="D671" s="16"/>
    </row>
    <row r="672">
      <c r="B672" s="16"/>
      <c r="C672" s="16"/>
      <c r="D672" s="16"/>
    </row>
    <row r="673">
      <c r="B673" s="16"/>
      <c r="C673" s="16"/>
      <c r="D673" s="16"/>
    </row>
    <row r="674">
      <c r="B674" s="16"/>
      <c r="C674" s="16"/>
      <c r="D674" s="16"/>
    </row>
    <row r="675">
      <c r="B675" s="16"/>
      <c r="C675" s="16"/>
      <c r="D675" s="16"/>
    </row>
    <row r="676">
      <c r="B676" s="16"/>
      <c r="C676" s="16"/>
      <c r="D676" s="16"/>
    </row>
    <row r="677">
      <c r="B677" s="16"/>
      <c r="C677" s="16"/>
      <c r="D677" s="16"/>
    </row>
    <row r="678">
      <c r="B678" s="16"/>
      <c r="C678" s="16"/>
      <c r="D678" s="16"/>
    </row>
    <row r="679">
      <c r="B679" s="16"/>
      <c r="C679" s="16"/>
      <c r="D679" s="16"/>
    </row>
    <row r="680">
      <c r="B680" s="16"/>
      <c r="C680" s="16"/>
      <c r="D680" s="16"/>
    </row>
    <row r="681">
      <c r="B681" s="16"/>
      <c r="C681" s="16"/>
      <c r="D681" s="16"/>
    </row>
    <row r="682">
      <c r="B682" s="16"/>
      <c r="C682" s="16"/>
      <c r="D682" s="16"/>
    </row>
    <row r="683">
      <c r="B683" s="16"/>
      <c r="C683" s="16"/>
      <c r="D683" s="16"/>
    </row>
    <row r="684">
      <c r="B684" s="16"/>
      <c r="C684" s="16"/>
      <c r="D684" s="16"/>
    </row>
    <row r="685">
      <c r="B685" s="16"/>
      <c r="C685" s="16"/>
      <c r="D685" s="16"/>
    </row>
    <row r="686">
      <c r="B686" s="16"/>
      <c r="C686" s="16"/>
      <c r="D686" s="16"/>
    </row>
    <row r="687">
      <c r="B687" s="16"/>
      <c r="C687" s="16"/>
      <c r="D687" s="16"/>
    </row>
    <row r="688">
      <c r="B688" s="16"/>
      <c r="C688" s="16"/>
      <c r="D688" s="16"/>
    </row>
    <row r="689">
      <c r="B689" s="16"/>
      <c r="C689" s="16"/>
      <c r="D689" s="16"/>
    </row>
    <row r="690">
      <c r="B690" s="16"/>
      <c r="C690" s="16"/>
      <c r="D690" s="16"/>
    </row>
    <row r="691">
      <c r="B691" s="16"/>
      <c r="C691" s="16"/>
      <c r="D691" s="16"/>
    </row>
    <row r="692">
      <c r="B692" s="16"/>
      <c r="C692" s="16"/>
      <c r="D692" s="16"/>
    </row>
    <row r="693">
      <c r="B693" s="16"/>
      <c r="C693" s="16"/>
      <c r="D693" s="16"/>
    </row>
    <row r="694">
      <c r="B694" s="16"/>
      <c r="C694" s="16"/>
      <c r="D694" s="16"/>
    </row>
    <row r="695">
      <c r="B695" s="16"/>
      <c r="C695" s="16"/>
      <c r="D695" s="16"/>
    </row>
    <row r="696">
      <c r="B696" s="16"/>
      <c r="C696" s="16"/>
      <c r="D696" s="16"/>
    </row>
    <row r="697">
      <c r="B697" s="16"/>
      <c r="C697" s="16"/>
      <c r="D697" s="16"/>
    </row>
    <row r="698">
      <c r="B698" s="16"/>
      <c r="C698" s="16"/>
      <c r="D698" s="16"/>
    </row>
    <row r="699">
      <c r="B699" s="16"/>
      <c r="C699" s="16"/>
      <c r="D699" s="16"/>
    </row>
    <row r="700">
      <c r="B700" s="16"/>
      <c r="C700" s="16"/>
      <c r="D700" s="16"/>
    </row>
    <row r="701">
      <c r="B701" s="16"/>
      <c r="C701" s="16"/>
      <c r="D701" s="16"/>
    </row>
    <row r="702">
      <c r="B702" s="16"/>
      <c r="C702" s="16"/>
      <c r="D702" s="16"/>
    </row>
    <row r="703">
      <c r="B703" s="16"/>
      <c r="C703" s="16"/>
      <c r="D703" s="16"/>
    </row>
    <row r="704">
      <c r="B704" s="16"/>
      <c r="C704" s="16"/>
      <c r="D704" s="16"/>
    </row>
    <row r="705">
      <c r="B705" s="16"/>
      <c r="C705" s="16"/>
      <c r="D705" s="16"/>
    </row>
    <row r="706">
      <c r="B706" s="16"/>
      <c r="C706" s="16"/>
      <c r="D706" s="16"/>
    </row>
    <row r="707">
      <c r="B707" s="16"/>
      <c r="C707" s="16"/>
      <c r="D707" s="16"/>
    </row>
    <row r="708">
      <c r="B708" s="16"/>
      <c r="C708" s="16"/>
      <c r="D708" s="16"/>
    </row>
    <row r="709">
      <c r="B709" s="16"/>
      <c r="C709" s="16"/>
      <c r="D709" s="16"/>
    </row>
    <row r="710">
      <c r="B710" s="16"/>
      <c r="C710" s="16"/>
      <c r="D710" s="16"/>
    </row>
    <row r="711">
      <c r="B711" s="16"/>
      <c r="C711" s="16"/>
      <c r="D711" s="16"/>
    </row>
    <row r="712">
      <c r="B712" s="16"/>
      <c r="C712" s="16"/>
      <c r="D712" s="16"/>
    </row>
    <row r="713">
      <c r="B713" s="16"/>
      <c r="C713" s="16"/>
      <c r="D713" s="16"/>
    </row>
    <row r="714">
      <c r="B714" s="16"/>
      <c r="C714" s="16"/>
      <c r="D714" s="16"/>
    </row>
    <row r="715">
      <c r="B715" s="16"/>
      <c r="C715" s="16"/>
      <c r="D715" s="16"/>
    </row>
    <row r="716">
      <c r="B716" s="16"/>
      <c r="C716" s="16"/>
      <c r="D716" s="16"/>
    </row>
    <row r="717">
      <c r="B717" s="16"/>
      <c r="C717" s="16"/>
      <c r="D717" s="16"/>
    </row>
    <row r="718">
      <c r="B718" s="16"/>
      <c r="C718" s="16"/>
      <c r="D718" s="16"/>
    </row>
    <row r="719">
      <c r="B719" s="16"/>
      <c r="C719" s="16"/>
      <c r="D719" s="16"/>
    </row>
    <row r="720">
      <c r="B720" s="16"/>
      <c r="C720" s="16"/>
      <c r="D720" s="16"/>
    </row>
    <row r="721">
      <c r="B721" s="16"/>
      <c r="C721" s="16"/>
      <c r="D721" s="16"/>
    </row>
    <row r="722">
      <c r="B722" s="16"/>
      <c r="C722" s="16"/>
      <c r="D722" s="16"/>
    </row>
    <row r="723">
      <c r="B723" s="16"/>
      <c r="C723" s="16"/>
      <c r="D723" s="16"/>
    </row>
    <row r="724">
      <c r="B724" s="16"/>
      <c r="C724" s="16"/>
      <c r="D724" s="16"/>
    </row>
    <row r="725">
      <c r="B725" s="16"/>
      <c r="C725" s="16"/>
      <c r="D725" s="16"/>
    </row>
    <row r="726">
      <c r="B726" s="16"/>
      <c r="C726" s="16"/>
      <c r="D726" s="16"/>
    </row>
    <row r="727">
      <c r="B727" s="16"/>
      <c r="C727" s="16"/>
      <c r="D727" s="16"/>
    </row>
    <row r="728">
      <c r="B728" s="16"/>
      <c r="C728" s="16"/>
      <c r="D728" s="16"/>
    </row>
    <row r="729">
      <c r="B729" s="16"/>
      <c r="C729" s="16"/>
      <c r="D729" s="16"/>
    </row>
    <row r="730">
      <c r="B730" s="16"/>
      <c r="C730" s="16"/>
      <c r="D730" s="16"/>
    </row>
    <row r="731">
      <c r="B731" s="16"/>
      <c r="C731" s="16"/>
      <c r="D731" s="16"/>
    </row>
    <row r="732">
      <c r="B732" s="16"/>
      <c r="C732" s="16"/>
      <c r="D732" s="16"/>
    </row>
    <row r="733">
      <c r="B733" s="16"/>
      <c r="C733" s="16"/>
      <c r="D733" s="16"/>
    </row>
    <row r="734">
      <c r="B734" s="16"/>
      <c r="C734" s="16"/>
      <c r="D734" s="16"/>
    </row>
    <row r="735">
      <c r="B735" s="16"/>
      <c r="C735" s="16"/>
      <c r="D735" s="16"/>
    </row>
    <row r="736">
      <c r="B736" s="16"/>
      <c r="C736" s="16"/>
      <c r="D736" s="16"/>
    </row>
    <row r="737">
      <c r="B737" s="16"/>
      <c r="C737" s="16"/>
      <c r="D737" s="16"/>
    </row>
    <row r="738">
      <c r="B738" s="16"/>
      <c r="C738" s="16"/>
      <c r="D738" s="16"/>
    </row>
    <row r="739">
      <c r="B739" s="16"/>
      <c r="C739" s="16"/>
      <c r="D739" s="16"/>
    </row>
    <row r="740">
      <c r="B740" s="16"/>
      <c r="C740" s="16"/>
      <c r="D740" s="16"/>
    </row>
    <row r="741">
      <c r="B741" s="16"/>
      <c r="C741" s="16"/>
      <c r="D741" s="16"/>
    </row>
    <row r="742">
      <c r="B742" s="16"/>
      <c r="C742" s="16"/>
      <c r="D742" s="16"/>
    </row>
    <row r="743">
      <c r="B743" s="16"/>
      <c r="C743" s="16"/>
      <c r="D743" s="16"/>
    </row>
    <row r="744">
      <c r="B744" s="16"/>
      <c r="C744" s="16"/>
      <c r="D744" s="16"/>
    </row>
    <row r="745">
      <c r="B745" s="16"/>
      <c r="C745" s="16"/>
      <c r="D745" s="16"/>
    </row>
    <row r="746">
      <c r="B746" s="16"/>
      <c r="C746" s="16"/>
      <c r="D746" s="16"/>
    </row>
    <row r="747">
      <c r="B747" s="16"/>
      <c r="C747" s="16"/>
      <c r="D747" s="16"/>
    </row>
    <row r="748">
      <c r="B748" s="16"/>
      <c r="C748" s="16"/>
      <c r="D748" s="16"/>
    </row>
    <row r="749">
      <c r="B749" s="16"/>
      <c r="C749" s="16"/>
      <c r="D749" s="16"/>
    </row>
    <row r="750">
      <c r="B750" s="16"/>
      <c r="C750" s="16"/>
      <c r="D750" s="16"/>
    </row>
    <row r="751">
      <c r="B751" s="16"/>
      <c r="C751" s="16"/>
      <c r="D751" s="16"/>
    </row>
    <row r="752">
      <c r="B752" s="16"/>
      <c r="C752" s="16"/>
      <c r="D752" s="16"/>
    </row>
    <row r="753">
      <c r="B753" s="16"/>
      <c r="C753" s="16"/>
      <c r="D753" s="16"/>
    </row>
    <row r="754">
      <c r="B754" s="16"/>
      <c r="C754" s="16"/>
      <c r="D754" s="16"/>
    </row>
    <row r="755">
      <c r="B755" s="16"/>
      <c r="C755" s="16"/>
      <c r="D755" s="16"/>
    </row>
    <row r="756">
      <c r="B756" s="16"/>
      <c r="C756" s="16"/>
      <c r="D756" s="16"/>
    </row>
    <row r="757">
      <c r="B757" s="16"/>
      <c r="C757" s="16"/>
      <c r="D757" s="16"/>
    </row>
    <row r="758">
      <c r="B758" s="16"/>
      <c r="C758" s="16"/>
      <c r="D758" s="16"/>
    </row>
    <row r="759">
      <c r="B759" s="16"/>
      <c r="C759" s="16"/>
      <c r="D759" s="16"/>
    </row>
    <row r="760">
      <c r="B760" s="16"/>
      <c r="C760" s="16"/>
      <c r="D760" s="16"/>
    </row>
    <row r="761">
      <c r="B761" s="16"/>
      <c r="C761" s="16"/>
      <c r="D761" s="16"/>
    </row>
    <row r="762">
      <c r="B762" s="16"/>
      <c r="C762" s="16"/>
      <c r="D762" s="16"/>
    </row>
    <row r="763">
      <c r="B763" s="16"/>
      <c r="C763" s="16"/>
      <c r="D763" s="16"/>
    </row>
    <row r="764">
      <c r="B764" s="16"/>
      <c r="C764" s="16"/>
      <c r="D764" s="16"/>
    </row>
    <row r="765">
      <c r="B765" s="16"/>
      <c r="C765" s="16"/>
      <c r="D765" s="16"/>
    </row>
    <row r="766">
      <c r="B766" s="16"/>
      <c r="C766" s="16"/>
      <c r="D766" s="16"/>
    </row>
    <row r="767">
      <c r="B767" s="16"/>
      <c r="C767" s="16"/>
      <c r="D767" s="16"/>
    </row>
    <row r="768">
      <c r="B768" s="16"/>
      <c r="C768" s="16"/>
      <c r="D768" s="16"/>
    </row>
    <row r="769">
      <c r="B769" s="16"/>
      <c r="C769" s="16"/>
      <c r="D769" s="16"/>
    </row>
    <row r="770">
      <c r="B770" s="16"/>
      <c r="C770" s="16"/>
      <c r="D770" s="16"/>
    </row>
    <row r="771">
      <c r="B771" s="16"/>
      <c r="C771" s="16"/>
      <c r="D771" s="16"/>
    </row>
    <row r="772">
      <c r="B772" s="16"/>
      <c r="C772" s="16"/>
      <c r="D772" s="16"/>
    </row>
    <row r="773">
      <c r="B773" s="16"/>
      <c r="C773" s="16"/>
      <c r="D773" s="16"/>
    </row>
    <row r="774">
      <c r="B774" s="16"/>
      <c r="C774" s="16"/>
      <c r="D774" s="16"/>
    </row>
    <row r="775">
      <c r="B775" s="16"/>
      <c r="C775" s="16"/>
      <c r="D775" s="16"/>
    </row>
    <row r="776">
      <c r="B776" s="16"/>
      <c r="C776" s="16"/>
      <c r="D776" s="16"/>
    </row>
    <row r="777">
      <c r="B777" s="16"/>
      <c r="C777" s="16"/>
      <c r="D777" s="16"/>
    </row>
    <row r="778">
      <c r="B778" s="16"/>
      <c r="C778" s="16"/>
      <c r="D778" s="16"/>
    </row>
    <row r="779">
      <c r="B779" s="16"/>
      <c r="C779" s="16"/>
      <c r="D779" s="16"/>
    </row>
    <row r="780">
      <c r="B780" s="16"/>
      <c r="C780" s="16"/>
      <c r="D780" s="16"/>
    </row>
    <row r="781">
      <c r="B781" s="16"/>
      <c r="C781" s="16"/>
      <c r="D781" s="16"/>
    </row>
    <row r="782">
      <c r="B782" s="16"/>
      <c r="C782" s="16"/>
      <c r="D782" s="16"/>
    </row>
    <row r="783">
      <c r="B783" s="16"/>
      <c r="C783" s="16"/>
      <c r="D783" s="16"/>
    </row>
    <row r="784">
      <c r="B784" s="16"/>
      <c r="C784" s="16"/>
      <c r="D784" s="16"/>
    </row>
    <row r="785">
      <c r="B785" s="16"/>
      <c r="C785" s="16"/>
      <c r="D785" s="16"/>
    </row>
    <row r="786">
      <c r="B786" s="16"/>
      <c r="C786" s="16"/>
      <c r="D786" s="16"/>
    </row>
    <row r="787">
      <c r="B787" s="16"/>
      <c r="C787" s="16"/>
      <c r="D787" s="16"/>
    </row>
    <row r="788">
      <c r="B788" s="16"/>
      <c r="C788" s="16"/>
      <c r="D788" s="16"/>
    </row>
    <row r="789">
      <c r="B789" s="16"/>
      <c r="C789" s="16"/>
      <c r="D789" s="16"/>
    </row>
    <row r="790">
      <c r="B790" s="16"/>
      <c r="C790" s="16"/>
      <c r="D790" s="16"/>
    </row>
    <row r="791">
      <c r="B791" s="16"/>
      <c r="C791" s="16"/>
      <c r="D791" s="16"/>
    </row>
    <row r="792">
      <c r="B792" s="16"/>
      <c r="C792" s="16"/>
      <c r="D792" s="16"/>
    </row>
    <row r="793">
      <c r="B793" s="16"/>
      <c r="C793" s="16"/>
      <c r="D793" s="16"/>
    </row>
    <row r="794">
      <c r="B794" s="16"/>
      <c r="C794" s="16"/>
      <c r="D794" s="16"/>
    </row>
    <row r="795">
      <c r="B795" s="16"/>
      <c r="C795" s="16"/>
      <c r="D795" s="16"/>
    </row>
    <row r="796">
      <c r="B796" s="16"/>
      <c r="C796" s="16"/>
      <c r="D796" s="16"/>
    </row>
    <row r="797">
      <c r="B797" s="16"/>
      <c r="C797" s="16"/>
      <c r="D797" s="16"/>
    </row>
    <row r="798">
      <c r="B798" s="16"/>
      <c r="C798" s="16"/>
      <c r="D798" s="16"/>
    </row>
    <row r="799">
      <c r="B799" s="16"/>
      <c r="C799" s="16"/>
      <c r="D799" s="16"/>
    </row>
    <row r="800">
      <c r="B800" s="16"/>
      <c r="C800" s="16"/>
      <c r="D800" s="16"/>
    </row>
    <row r="801">
      <c r="B801" s="16"/>
      <c r="C801" s="16"/>
      <c r="D801" s="16"/>
    </row>
    <row r="802">
      <c r="B802" s="16"/>
      <c r="C802" s="16"/>
      <c r="D802" s="16"/>
    </row>
    <row r="803">
      <c r="B803" s="16"/>
      <c r="C803" s="16"/>
      <c r="D803" s="16"/>
    </row>
    <row r="804">
      <c r="B804" s="16"/>
      <c r="C804" s="16"/>
      <c r="D804" s="16"/>
    </row>
    <row r="805">
      <c r="B805" s="16"/>
      <c r="C805" s="16"/>
      <c r="D805" s="16"/>
    </row>
    <row r="806">
      <c r="B806" s="16"/>
      <c r="C806" s="16"/>
      <c r="D806" s="16"/>
    </row>
    <row r="807">
      <c r="B807" s="16"/>
      <c r="C807" s="16"/>
      <c r="D807" s="16"/>
    </row>
    <row r="808">
      <c r="B808" s="16"/>
      <c r="C808" s="16"/>
      <c r="D808" s="16"/>
    </row>
    <row r="809">
      <c r="B809" s="16"/>
      <c r="C809" s="16"/>
      <c r="D809" s="16"/>
    </row>
    <row r="810">
      <c r="B810" s="16"/>
      <c r="C810" s="16"/>
      <c r="D810" s="16"/>
    </row>
    <row r="811">
      <c r="B811" s="16"/>
      <c r="C811" s="16"/>
      <c r="D811" s="16"/>
    </row>
    <row r="812">
      <c r="B812" s="16"/>
      <c r="C812" s="16"/>
      <c r="D812" s="16"/>
    </row>
    <row r="813">
      <c r="B813" s="16"/>
      <c r="C813" s="16"/>
      <c r="D813" s="16"/>
    </row>
    <row r="814">
      <c r="B814" s="16"/>
      <c r="C814" s="16"/>
      <c r="D814" s="16"/>
    </row>
    <row r="815">
      <c r="B815" s="16"/>
      <c r="C815" s="16"/>
      <c r="D815" s="16"/>
    </row>
    <row r="816">
      <c r="B816" s="16"/>
      <c r="C816" s="16"/>
      <c r="D816" s="16"/>
    </row>
    <row r="817">
      <c r="B817" s="16"/>
      <c r="C817" s="16"/>
      <c r="D817" s="16"/>
    </row>
    <row r="818">
      <c r="B818" s="16"/>
      <c r="C818" s="16"/>
      <c r="D818" s="16"/>
    </row>
    <row r="819">
      <c r="B819" s="16"/>
      <c r="C819" s="16"/>
      <c r="D819" s="16"/>
    </row>
    <row r="820">
      <c r="B820" s="16"/>
      <c r="C820" s="16"/>
      <c r="D820" s="16"/>
    </row>
    <row r="821">
      <c r="B821" s="16"/>
      <c r="C821" s="16"/>
      <c r="D821" s="16"/>
    </row>
    <row r="822">
      <c r="B822" s="16"/>
      <c r="C822" s="16"/>
      <c r="D822" s="16"/>
    </row>
    <row r="823">
      <c r="B823" s="16"/>
      <c r="C823" s="16"/>
      <c r="D823" s="16"/>
    </row>
    <row r="824">
      <c r="B824" s="16"/>
      <c r="C824" s="16"/>
      <c r="D824" s="16"/>
    </row>
    <row r="825">
      <c r="B825" s="16"/>
      <c r="C825" s="16"/>
      <c r="D825" s="16"/>
    </row>
    <row r="826">
      <c r="B826" s="16"/>
      <c r="C826" s="16"/>
      <c r="D826" s="16"/>
    </row>
    <row r="827">
      <c r="B827" s="16"/>
      <c r="C827" s="16"/>
      <c r="D827" s="16"/>
    </row>
    <row r="828">
      <c r="B828" s="16"/>
      <c r="C828" s="16"/>
      <c r="D828" s="16"/>
    </row>
    <row r="829">
      <c r="B829" s="16"/>
      <c r="C829" s="16"/>
      <c r="D829" s="16"/>
    </row>
    <row r="830">
      <c r="B830" s="16"/>
      <c r="C830" s="16"/>
      <c r="D830" s="16"/>
    </row>
    <row r="831">
      <c r="B831" s="16"/>
      <c r="C831" s="16"/>
      <c r="D831" s="16"/>
    </row>
    <row r="832">
      <c r="B832" s="16"/>
      <c r="C832" s="16"/>
      <c r="D832" s="16"/>
    </row>
    <row r="833">
      <c r="B833" s="16"/>
      <c r="C833" s="16"/>
      <c r="D833" s="16"/>
    </row>
    <row r="834">
      <c r="B834" s="16"/>
      <c r="C834" s="16"/>
      <c r="D834" s="16"/>
    </row>
    <row r="835">
      <c r="B835" s="16"/>
      <c r="C835" s="16"/>
      <c r="D835" s="16"/>
    </row>
    <row r="836">
      <c r="B836" s="16"/>
      <c r="C836" s="16"/>
      <c r="D836" s="16"/>
    </row>
    <row r="837">
      <c r="B837" s="16"/>
      <c r="C837" s="16"/>
      <c r="D837" s="16"/>
    </row>
    <row r="838">
      <c r="B838" s="16"/>
      <c r="C838" s="16"/>
      <c r="D838" s="16"/>
    </row>
    <row r="839">
      <c r="B839" s="16"/>
      <c r="C839" s="16"/>
      <c r="D839" s="16"/>
    </row>
    <row r="840">
      <c r="B840" s="16"/>
      <c r="C840" s="16"/>
      <c r="D840" s="16"/>
    </row>
    <row r="841">
      <c r="B841" s="16"/>
      <c r="C841" s="16"/>
      <c r="D841" s="16"/>
    </row>
    <row r="842">
      <c r="B842" s="16"/>
      <c r="C842" s="16"/>
      <c r="D842" s="16"/>
    </row>
    <row r="843">
      <c r="B843" s="16"/>
      <c r="C843" s="16"/>
      <c r="D843" s="16"/>
    </row>
    <row r="844">
      <c r="B844" s="16"/>
      <c r="C844" s="16"/>
      <c r="D844" s="16"/>
    </row>
    <row r="845">
      <c r="B845" s="16"/>
      <c r="C845" s="16"/>
      <c r="D845" s="16"/>
    </row>
    <row r="846">
      <c r="B846" s="16"/>
      <c r="C846" s="16"/>
      <c r="D846" s="16"/>
    </row>
    <row r="847">
      <c r="B847" s="16"/>
      <c r="C847" s="16"/>
      <c r="D847" s="16"/>
    </row>
    <row r="848">
      <c r="B848" s="16"/>
      <c r="C848" s="16"/>
      <c r="D848" s="16"/>
    </row>
    <row r="849">
      <c r="B849" s="16"/>
      <c r="C849" s="16"/>
      <c r="D849" s="16"/>
    </row>
    <row r="850">
      <c r="B850" s="16"/>
      <c r="C850" s="16"/>
      <c r="D850" s="16"/>
    </row>
    <row r="851">
      <c r="B851" s="16"/>
      <c r="C851" s="16"/>
      <c r="D851" s="16"/>
    </row>
    <row r="852">
      <c r="B852" s="16"/>
      <c r="C852" s="16"/>
      <c r="D852" s="16"/>
    </row>
    <row r="853">
      <c r="B853" s="16"/>
      <c r="C853" s="16"/>
      <c r="D853" s="16"/>
    </row>
    <row r="854">
      <c r="B854" s="16"/>
      <c r="C854" s="16"/>
      <c r="D854" s="16"/>
    </row>
    <row r="855">
      <c r="B855" s="16"/>
      <c r="C855" s="16"/>
      <c r="D855" s="16"/>
    </row>
    <row r="856">
      <c r="B856" s="16"/>
      <c r="C856" s="16"/>
      <c r="D856" s="16"/>
    </row>
    <row r="857">
      <c r="B857" s="16"/>
      <c r="C857" s="16"/>
      <c r="D857" s="16"/>
    </row>
    <row r="858">
      <c r="B858" s="16"/>
      <c r="C858" s="16"/>
      <c r="D858" s="16"/>
    </row>
    <row r="859">
      <c r="B859" s="16"/>
      <c r="C859" s="16"/>
      <c r="D859" s="16"/>
    </row>
    <row r="860">
      <c r="B860" s="16"/>
      <c r="C860" s="16"/>
      <c r="D860" s="16"/>
    </row>
    <row r="861">
      <c r="B861" s="16"/>
      <c r="C861" s="16"/>
      <c r="D861" s="16"/>
    </row>
    <row r="862">
      <c r="B862" s="16"/>
      <c r="C862" s="16"/>
      <c r="D862" s="16"/>
    </row>
    <row r="863">
      <c r="B863" s="16"/>
      <c r="C863" s="16"/>
      <c r="D863" s="16"/>
    </row>
    <row r="864">
      <c r="B864" s="16"/>
      <c r="C864" s="16"/>
      <c r="D864" s="16"/>
    </row>
    <row r="865">
      <c r="B865" s="16"/>
      <c r="C865" s="16"/>
      <c r="D865" s="16"/>
    </row>
    <row r="866">
      <c r="B866" s="16"/>
      <c r="C866" s="16"/>
      <c r="D866" s="16"/>
    </row>
    <row r="867">
      <c r="B867" s="16"/>
      <c r="C867" s="16"/>
      <c r="D867" s="16"/>
    </row>
    <row r="868">
      <c r="B868" s="16"/>
      <c r="C868" s="16"/>
      <c r="D868" s="16"/>
    </row>
    <row r="869">
      <c r="B869" s="16"/>
      <c r="C869" s="16"/>
      <c r="D869" s="16"/>
    </row>
    <row r="870">
      <c r="B870" s="16"/>
      <c r="C870" s="16"/>
      <c r="D870" s="16"/>
    </row>
    <row r="871">
      <c r="B871" s="16"/>
      <c r="C871" s="16"/>
      <c r="D871" s="16"/>
    </row>
    <row r="872">
      <c r="B872" s="16"/>
      <c r="C872" s="16"/>
      <c r="D872" s="16"/>
    </row>
    <row r="873">
      <c r="B873" s="16"/>
      <c r="C873" s="16"/>
      <c r="D873" s="16"/>
    </row>
    <row r="874">
      <c r="B874" s="16"/>
      <c r="C874" s="16"/>
      <c r="D874" s="16"/>
    </row>
    <row r="875">
      <c r="B875" s="16"/>
      <c r="C875" s="16"/>
      <c r="D875" s="16"/>
    </row>
    <row r="876">
      <c r="B876" s="16"/>
      <c r="C876" s="16"/>
      <c r="D876" s="16"/>
    </row>
    <row r="877">
      <c r="B877" s="16"/>
      <c r="C877" s="16"/>
      <c r="D877" s="16"/>
    </row>
    <row r="878">
      <c r="B878" s="16"/>
      <c r="C878" s="16"/>
      <c r="D878" s="16"/>
    </row>
    <row r="879">
      <c r="B879" s="16"/>
      <c r="C879" s="16"/>
      <c r="D879" s="16"/>
    </row>
    <row r="880">
      <c r="B880" s="16"/>
      <c r="C880" s="16"/>
      <c r="D880" s="16"/>
    </row>
    <row r="881">
      <c r="B881" s="16"/>
      <c r="C881" s="16"/>
      <c r="D881" s="16"/>
    </row>
    <row r="882">
      <c r="B882" s="16"/>
      <c r="C882" s="16"/>
      <c r="D882" s="16"/>
    </row>
    <row r="883">
      <c r="B883" s="16"/>
      <c r="C883" s="16"/>
      <c r="D883" s="16"/>
    </row>
    <row r="884">
      <c r="B884" s="16"/>
      <c r="C884" s="16"/>
      <c r="D884" s="16"/>
    </row>
    <row r="885">
      <c r="B885" s="16"/>
      <c r="C885" s="16"/>
      <c r="D885" s="16"/>
    </row>
    <row r="886">
      <c r="B886" s="16"/>
      <c r="C886" s="16"/>
      <c r="D886" s="16"/>
    </row>
    <row r="887">
      <c r="B887" s="16"/>
      <c r="C887" s="16"/>
      <c r="D887" s="16"/>
    </row>
    <row r="888">
      <c r="B888" s="16"/>
      <c r="C888" s="16"/>
      <c r="D888" s="16"/>
    </row>
    <row r="889">
      <c r="B889" s="16"/>
      <c r="C889" s="16"/>
      <c r="D889" s="16"/>
    </row>
    <row r="890">
      <c r="B890" s="16"/>
      <c r="C890" s="16"/>
      <c r="D890" s="16"/>
    </row>
    <row r="891">
      <c r="B891" s="16"/>
      <c r="C891" s="16"/>
      <c r="D891" s="16"/>
    </row>
    <row r="892">
      <c r="B892" s="16"/>
      <c r="C892" s="16"/>
      <c r="D892" s="16"/>
    </row>
    <row r="893">
      <c r="B893" s="16"/>
      <c r="C893" s="16"/>
      <c r="D893" s="16"/>
    </row>
    <row r="894">
      <c r="B894" s="16"/>
      <c r="C894" s="16"/>
      <c r="D894" s="16"/>
    </row>
    <row r="895">
      <c r="B895" s="16"/>
      <c r="C895" s="16"/>
      <c r="D895" s="16"/>
    </row>
    <row r="896">
      <c r="B896" s="16"/>
      <c r="C896" s="16"/>
      <c r="D896" s="16"/>
    </row>
    <row r="897">
      <c r="B897" s="16"/>
      <c r="C897" s="16"/>
      <c r="D897" s="16"/>
    </row>
    <row r="898">
      <c r="B898" s="16"/>
      <c r="C898" s="16"/>
      <c r="D898" s="16"/>
    </row>
    <row r="899">
      <c r="B899" s="16"/>
      <c r="C899" s="16"/>
      <c r="D899" s="16"/>
    </row>
    <row r="900">
      <c r="B900" s="16"/>
      <c r="C900" s="16"/>
      <c r="D900" s="16"/>
    </row>
    <row r="901">
      <c r="B901" s="16"/>
      <c r="C901" s="16"/>
      <c r="D901" s="16"/>
    </row>
    <row r="902">
      <c r="B902" s="16"/>
      <c r="C902" s="16"/>
      <c r="D902" s="16"/>
    </row>
    <row r="903">
      <c r="B903" s="16"/>
      <c r="C903" s="16"/>
      <c r="D903" s="16"/>
    </row>
    <row r="904">
      <c r="B904" s="16"/>
      <c r="C904" s="16"/>
      <c r="D904" s="16"/>
    </row>
    <row r="905">
      <c r="B905" s="16"/>
      <c r="C905" s="16"/>
      <c r="D905" s="16"/>
    </row>
    <row r="906">
      <c r="B906" s="16"/>
      <c r="C906" s="16"/>
      <c r="D906" s="16"/>
    </row>
    <row r="907">
      <c r="B907" s="16"/>
      <c r="C907" s="16"/>
      <c r="D907" s="16"/>
    </row>
    <row r="908">
      <c r="B908" s="16"/>
      <c r="C908" s="16"/>
      <c r="D908" s="16"/>
    </row>
    <row r="909">
      <c r="B909" s="16"/>
      <c r="C909" s="16"/>
      <c r="D909" s="16"/>
    </row>
    <row r="910">
      <c r="B910" s="16"/>
      <c r="C910" s="16"/>
      <c r="D910" s="16"/>
    </row>
    <row r="911">
      <c r="B911" s="16"/>
      <c r="C911" s="16"/>
      <c r="D911" s="16"/>
    </row>
    <row r="912">
      <c r="B912" s="16"/>
      <c r="C912" s="16"/>
      <c r="D912" s="16"/>
    </row>
    <row r="913">
      <c r="B913" s="16"/>
      <c r="C913" s="16"/>
      <c r="D913" s="16"/>
    </row>
    <row r="914">
      <c r="B914" s="16"/>
      <c r="C914" s="16"/>
      <c r="D914" s="16"/>
    </row>
    <row r="915">
      <c r="B915" s="16"/>
      <c r="C915" s="16"/>
      <c r="D915" s="16"/>
    </row>
    <row r="916">
      <c r="B916" s="16"/>
      <c r="C916" s="16"/>
      <c r="D916" s="16"/>
    </row>
    <row r="917">
      <c r="B917" s="16"/>
      <c r="C917" s="16"/>
      <c r="D917" s="16"/>
    </row>
    <row r="918">
      <c r="B918" s="16"/>
      <c r="C918" s="16"/>
      <c r="D918" s="16"/>
    </row>
    <row r="919">
      <c r="B919" s="16"/>
      <c r="C919" s="16"/>
      <c r="D919" s="16"/>
    </row>
    <row r="920">
      <c r="B920" s="16"/>
      <c r="C920" s="16"/>
      <c r="D920" s="16"/>
    </row>
    <row r="921">
      <c r="B921" s="16"/>
      <c r="C921" s="16"/>
      <c r="D921" s="16"/>
    </row>
    <row r="922">
      <c r="B922" s="16"/>
      <c r="C922" s="16"/>
      <c r="D922" s="16"/>
    </row>
    <row r="923">
      <c r="B923" s="16"/>
      <c r="C923" s="16"/>
      <c r="D923" s="16"/>
    </row>
    <row r="924">
      <c r="B924" s="16"/>
      <c r="C924" s="16"/>
      <c r="D924" s="16"/>
    </row>
    <row r="925">
      <c r="B925" s="16"/>
      <c r="C925" s="16"/>
      <c r="D925" s="16"/>
    </row>
    <row r="926">
      <c r="B926" s="16"/>
      <c r="C926" s="16"/>
      <c r="D926" s="16"/>
    </row>
    <row r="927">
      <c r="B927" s="16"/>
      <c r="C927" s="16"/>
      <c r="D927" s="16"/>
    </row>
    <row r="928">
      <c r="B928" s="16"/>
      <c r="C928" s="16"/>
      <c r="D928" s="16"/>
    </row>
    <row r="929">
      <c r="B929" s="16"/>
      <c r="C929" s="16"/>
      <c r="D929" s="16"/>
    </row>
    <row r="930">
      <c r="B930" s="16"/>
      <c r="C930" s="16"/>
      <c r="D930" s="16"/>
    </row>
    <row r="931">
      <c r="B931" s="16"/>
      <c r="C931" s="16"/>
      <c r="D931" s="16"/>
    </row>
    <row r="932">
      <c r="B932" s="16"/>
      <c r="C932" s="16"/>
      <c r="D932" s="16"/>
    </row>
    <row r="933">
      <c r="B933" s="16"/>
      <c r="C933" s="16"/>
      <c r="D933" s="16"/>
    </row>
    <row r="934">
      <c r="B934" s="16"/>
      <c r="C934" s="16"/>
      <c r="D934" s="16"/>
    </row>
    <row r="935">
      <c r="B935" s="16"/>
      <c r="C935" s="16"/>
      <c r="D935" s="16"/>
    </row>
    <row r="936">
      <c r="B936" s="16"/>
      <c r="C936" s="16"/>
      <c r="D936" s="16"/>
    </row>
    <row r="937">
      <c r="B937" s="16"/>
      <c r="C937" s="16"/>
      <c r="D937" s="16"/>
    </row>
    <row r="938">
      <c r="B938" s="16"/>
      <c r="C938" s="16"/>
      <c r="D938" s="16"/>
    </row>
    <row r="939">
      <c r="B939" s="16"/>
      <c r="C939" s="16"/>
      <c r="D939" s="16"/>
    </row>
    <row r="940">
      <c r="B940" s="16"/>
      <c r="C940" s="16"/>
      <c r="D940" s="16"/>
    </row>
    <row r="941">
      <c r="B941" s="16"/>
      <c r="C941" s="16"/>
      <c r="D941" s="16"/>
    </row>
    <row r="942">
      <c r="B942" s="16"/>
      <c r="C942" s="16"/>
      <c r="D942" s="16"/>
    </row>
    <row r="943">
      <c r="B943" s="16"/>
      <c r="C943" s="16"/>
      <c r="D943" s="16"/>
    </row>
    <row r="944">
      <c r="B944" s="16"/>
      <c r="C944" s="16"/>
      <c r="D944" s="16"/>
    </row>
    <row r="945">
      <c r="B945" s="16"/>
      <c r="C945" s="16"/>
      <c r="D945" s="16"/>
    </row>
    <row r="946">
      <c r="B946" s="16"/>
      <c r="C946" s="16"/>
      <c r="D946" s="16"/>
    </row>
    <row r="947">
      <c r="B947" s="16"/>
      <c r="C947" s="16"/>
      <c r="D947" s="16"/>
    </row>
    <row r="948">
      <c r="B948" s="16"/>
      <c r="C948" s="16"/>
      <c r="D948" s="16"/>
    </row>
    <row r="949">
      <c r="B949" s="16"/>
      <c r="C949" s="16"/>
      <c r="D949" s="16"/>
    </row>
    <row r="950">
      <c r="B950" s="16"/>
      <c r="C950" s="16"/>
      <c r="D950" s="16"/>
    </row>
    <row r="951">
      <c r="B951" s="16"/>
      <c r="C951" s="16"/>
      <c r="D951" s="16"/>
    </row>
    <row r="952">
      <c r="B952" s="16"/>
      <c r="C952" s="16"/>
      <c r="D952" s="16"/>
    </row>
    <row r="953">
      <c r="B953" s="16"/>
      <c r="C953" s="16"/>
      <c r="D953" s="16"/>
    </row>
    <row r="954">
      <c r="B954" s="16"/>
      <c r="C954" s="16"/>
      <c r="D954" s="16"/>
    </row>
    <row r="955">
      <c r="B955" s="16"/>
      <c r="C955" s="16"/>
      <c r="D955" s="16"/>
    </row>
    <row r="956">
      <c r="B956" s="16"/>
      <c r="C956" s="16"/>
      <c r="D956" s="16"/>
    </row>
    <row r="957">
      <c r="B957" s="16"/>
      <c r="C957" s="16"/>
      <c r="D957" s="16"/>
    </row>
    <row r="958">
      <c r="B958" s="16"/>
      <c r="C958" s="16"/>
      <c r="D958" s="16"/>
    </row>
    <row r="959">
      <c r="B959" s="16"/>
      <c r="C959" s="16"/>
      <c r="D959" s="16"/>
    </row>
    <row r="960">
      <c r="B960" s="16"/>
      <c r="C960" s="16"/>
      <c r="D960" s="16"/>
    </row>
    <row r="961">
      <c r="B961" s="16"/>
      <c r="C961" s="16"/>
      <c r="D961" s="16"/>
    </row>
    <row r="962">
      <c r="B962" s="16"/>
      <c r="C962" s="16"/>
      <c r="D962" s="16"/>
    </row>
    <row r="963">
      <c r="B963" s="16"/>
      <c r="C963" s="16"/>
      <c r="D963" s="16"/>
    </row>
    <row r="964">
      <c r="B964" s="16"/>
      <c r="C964" s="16"/>
      <c r="D964" s="16"/>
    </row>
    <row r="965">
      <c r="B965" s="16"/>
      <c r="C965" s="16"/>
      <c r="D965" s="16"/>
    </row>
    <row r="966">
      <c r="B966" s="16"/>
      <c r="C966" s="16"/>
      <c r="D966" s="16"/>
    </row>
    <row r="967">
      <c r="B967" s="16"/>
      <c r="C967" s="16"/>
      <c r="D967" s="16"/>
    </row>
    <row r="968">
      <c r="B968" s="16"/>
      <c r="C968" s="16"/>
      <c r="D968" s="16"/>
    </row>
    <row r="969">
      <c r="B969" s="16"/>
      <c r="C969" s="16"/>
      <c r="D969" s="16"/>
    </row>
    <row r="970">
      <c r="B970" s="16"/>
      <c r="C970" s="16"/>
      <c r="D970" s="16"/>
    </row>
    <row r="971">
      <c r="B971" s="16"/>
      <c r="C971" s="16"/>
      <c r="D971" s="16"/>
    </row>
    <row r="972">
      <c r="B972" s="16"/>
      <c r="C972" s="16"/>
      <c r="D972" s="16"/>
    </row>
    <row r="973">
      <c r="B973" s="16"/>
      <c r="C973" s="16"/>
      <c r="D973" s="16"/>
    </row>
    <row r="974">
      <c r="B974" s="16"/>
      <c r="C974" s="16"/>
      <c r="D974" s="16"/>
    </row>
    <row r="975">
      <c r="B975" s="16"/>
      <c r="C975" s="16"/>
      <c r="D975" s="16"/>
    </row>
    <row r="976">
      <c r="B976" s="16"/>
      <c r="C976" s="16"/>
      <c r="D976" s="16"/>
    </row>
    <row r="977">
      <c r="B977" s="16"/>
      <c r="C977" s="16"/>
      <c r="D977" s="16"/>
    </row>
    <row r="978">
      <c r="B978" s="16"/>
      <c r="C978" s="16"/>
      <c r="D978" s="16"/>
    </row>
    <row r="979">
      <c r="B979" s="16"/>
      <c r="C979" s="16"/>
      <c r="D979" s="16"/>
    </row>
    <row r="980">
      <c r="B980" s="16"/>
      <c r="C980" s="16"/>
      <c r="D980" s="16"/>
    </row>
    <row r="981">
      <c r="B981" s="16"/>
      <c r="C981" s="16"/>
      <c r="D981" s="16"/>
    </row>
    <row r="982">
      <c r="B982" s="16"/>
      <c r="C982" s="16"/>
      <c r="D982" s="16"/>
    </row>
    <row r="983">
      <c r="B983" s="16"/>
      <c r="C983" s="16"/>
      <c r="D983" s="16"/>
    </row>
    <row r="984">
      <c r="B984" s="16"/>
      <c r="C984" s="16"/>
      <c r="D984" s="16"/>
    </row>
    <row r="985">
      <c r="B985" s="16"/>
      <c r="C985" s="16"/>
      <c r="D985" s="16"/>
    </row>
    <row r="986">
      <c r="B986" s="16"/>
      <c r="C986" s="16"/>
      <c r="D986" s="16"/>
    </row>
    <row r="987">
      <c r="B987" s="16"/>
      <c r="C987" s="16"/>
      <c r="D987" s="16"/>
    </row>
    <row r="988">
      <c r="B988" s="16"/>
      <c r="C988" s="16"/>
      <c r="D988" s="16"/>
    </row>
    <row r="989">
      <c r="B989" s="16"/>
      <c r="C989" s="16"/>
      <c r="D989" s="16"/>
    </row>
    <row r="990">
      <c r="B990" s="16"/>
      <c r="C990" s="16"/>
      <c r="D990" s="16"/>
    </row>
    <row r="991">
      <c r="B991" s="16"/>
      <c r="C991" s="16"/>
      <c r="D991" s="16"/>
    </row>
    <row r="992">
      <c r="B992" s="16"/>
      <c r="C992" s="16"/>
      <c r="D992" s="16"/>
    </row>
    <row r="993">
      <c r="B993" s="16"/>
      <c r="C993" s="16"/>
      <c r="D993" s="16"/>
    </row>
    <row r="994">
      <c r="B994" s="16"/>
      <c r="C994" s="16"/>
      <c r="D994" s="16"/>
    </row>
    <row r="995">
      <c r="B995" s="16"/>
      <c r="C995" s="16"/>
      <c r="D995" s="16"/>
    </row>
    <row r="996">
      <c r="B996" s="16"/>
      <c r="C996" s="16"/>
      <c r="D996" s="16"/>
    </row>
    <row r="997">
      <c r="B997" s="16"/>
      <c r="C997" s="16"/>
      <c r="D997" s="16"/>
    </row>
    <row r="998">
      <c r="B998" s="16"/>
      <c r="C998" s="16"/>
      <c r="D998" s="16"/>
    </row>
    <row r="999">
      <c r="B999" s="16"/>
      <c r="C999" s="16"/>
      <c r="D999" s="16"/>
    </row>
    <row r="1000">
      <c r="B1000" s="16"/>
      <c r="C1000" s="16"/>
      <c r="D1000" s="16"/>
    </row>
  </sheetData>
  <hyperlinks>
    <hyperlink r:id="rId1" ref="D9"/>
    <hyperlink r:id="rId2" ref="D10"/>
    <hyperlink r:id="rId3" ref="D27"/>
    <hyperlink r:id="rId4" ref="D30"/>
    <hyperlink r:id="rId5" ref="D32"/>
    <hyperlink r:id="rId6" ref="D35"/>
  </hyperlinks>
  <drawing r:id="rId7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0.13"/>
    <col customWidth="1" min="3" max="3" width="15.25"/>
    <col customWidth="1" min="4" max="4" width="19.63"/>
    <col customWidth="1" min="5" max="6" width="20.63"/>
    <col customWidth="1" min="7" max="7" width="8.38"/>
    <col customWidth="1" min="8" max="8" width="28.63"/>
  </cols>
  <sheetData>
    <row r="1" ht="22.5" customHeight="1">
      <c r="A1" s="28" t="s">
        <v>19</v>
      </c>
      <c r="B1" s="28" t="s">
        <v>50</v>
      </c>
      <c r="C1" s="45" t="s">
        <v>59</v>
      </c>
      <c r="D1" s="46" t="s">
        <v>254</v>
      </c>
      <c r="E1" s="47" t="s">
        <v>255</v>
      </c>
      <c r="F1" s="48" t="s">
        <v>257</v>
      </c>
      <c r="G1" s="49"/>
      <c r="H1" s="50"/>
    </row>
    <row r="2" ht="22.5" customHeight="1">
      <c r="A2" s="31">
        <v>1.0</v>
      </c>
      <c r="B2" s="38" t="s">
        <v>227</v>
      </c>
      <c r="C2" s="33" t="s">
        <v>258</v>
      </c>
      <c r="D2" s="52" t="s">
        <v>259</v>
      </c>
      <c r="E2" s="53" t="s">
        <v>261</v>
      </c>
      <c r="F2" s="52" t="s">
        <v>262</v>
      </c>
      <c r="G2" s="54"/>
      <c r="H2" s="8" t="s">
        <v>263</v>
      </c>
      <c r="I2" s="8" t="s">
        <v>264</v>
      </c>
    </row>
    <row r="3" ht="22.5" customHeight="1">
      <c r="A3" s="31">
        <v>2.0</v>
      </c>
      <c r="B3" s="38" t="s">
        <v>233</v>
      </c>
      <c r="C3" s="33" t="s">
        <v>265</v>
      </c>
      <c r="D3" s="52" t="s">
        <v>266</v>
      </c>
      <c r="E3" s="53" t="s">
        <v>267</v>
      </c>
      <c r="F3" s="52" t="s">
        <v>268</v>
      </c>
      <c r="G3" s="54"/>
      <c r="H3" s="8" t="s">
        <v>261</v>
      </c>
      <c r="I3" s="8" t="s">
        <v>272</v>
      </c>
    </row>
    <row r="4" ht="22.5" customHeight="1">
      <c r="A4" s="31">
        <v>3.0</v>
      </c>
      <c r="B4" s="41" t="s">
        <v>235</v>
      </c>
      <c r="C4" s="33" t="s">
        <v>273</v>
      </c>
      <c r="D4" s="52" t="s">
        <v>274</v>
      </c>
      <c r="E4" s="53" t="s">
        <v>263</v>
      </c>
      <c r="F4" s="52" t="s">
        <v>275</v>
      </c>
      <c r="G4" s="54"/>
      <c r="H4" s="8" t="s">
        <v>267</v>
      </c>
      <c r="I4" s="8" t="s">
        <v>278</v>
      </c>
    </row>
    <row r="5" ht="22.5" customHeight="1">
      <c r="A5" s="31">
        <v>4.0</v>
      </c>
      <c r="B5" s="38" t="s">
        <v>233</v>
      </c>
      <c r="C5" s="33" t="s">
        <v>265</v>
      </c>
      <c r="D5" s="52" t="s">
        <v>266</v>
      </c>
      <c r="E5" s="53" t="s">
        <v>267</v>
      </c>
      <c r="F5" s="52" t="s">
        <v>268</v>
      </c>
      <c r="G5" s="54"/>
      <c r="H5" s="55"/>
      <c r="I5" s="56"/>
    </row>
    <row r="6" ht="22.5" customHeight="1">
      <c r="A6" s="31">
        <v>5.0</v>
      </c>
      <c r="B6" s="38" t="s">
        <v>239</v>
      </c>
      <c r="C6" s="33" t="s">
        <v>265</v>
      </c>
      <c r="D6" s="52" t="s">
        <v>266</v>
      </c>
      <c r="E6" s="53" t="s">
        <v>267</v>
      </c>
      <c r="F6" s="52" t="s">
        <v>268</v>
      </c>
      <c r="G6" s="54"/>
      <c r="H6" s="8" t="s">
        <v>273</v>
      </c>
      <c r="I6" s="8" t="s">
        <v>282</v>
      </c>
    </row>
    <row r="7" ht="22.5" customHeight="1">
      <c r="A7" s="31">
        <v>6.0</v>
      </c>
      <c r="B7" s="38" t="s">
        <v>245</v>
      </c>
      <c r="C7" s="33" t="s">
        <v>265</v>
      </c>
      <c r="D7" s="52" t="s">
        <v>259</v>
      </c>
      <c r="E7" s="53" t="s">
        <v>261</v>
      </c>
      <c r="F7" s="52" t="s">
        <v>286</v>
      </c>
      <c r="G7" s="54"/>
      <c r="H7" s="8" t="s">
        <v>258</v>
      </c>
      <c r="I7" s="8" t="s">
        <v>263</v>
      </c>
    </row>
    <row r="8" ht="22.5" customHeight="1">
      <c r="A8" s="31">
        <v>7.0</v>
      </c>
      <c r="B8" s="38" t="s">
        <v>245</v>
      </c>
      <c r="C8" s="33" t="s">
        <v>258</v>
      </c>
      <c r="D8" s="52" t="s">
        <v>266</v>
      </c>
      <c r="E8" s="53" t="s">
        <v>267</v>
      </c>
      <c r="F8" s="52" t="s">
        <v>268</v>
      </c>
      <c r="G8" s="54"/>
      <c r="H8" s="8" t="s">
        <v>289</v>
      </c>
      <c r="I8" s="8" t="s">
        <v>261</v>
      </c>
    </row>
    <row r="9" ht="22.5" customHeight="1">
      <c r="A9" s="31">
        <v>8.0</v>
      </c>
      <c r="B9" s="41" t="s">
        <v>235</v>
      </c>
      <c r="C9" s="33" t="s">
        <v>273</v>
      </c>
      <c r="D9" s="52" t="s">
        <v>274</v>
      </c>
      <c r="E9" s="53" t="s">
        <v>263</v>
      </c>
      <c r="F9" s="52" t="s">
        <v>275</v>
      </c>
      <c r="G9" s="54"/>
      <c r="H9" s="8" t="s">
        <v>291</v>
      </c>
      <c r="I9" s="8" t="s">
        <v>267</v>
      </c>
    </row>
    <row r="10" ht="22.5" customHeight="1">
      <c r="A10" s="31">
        <v>9.0</v>
      </c>
      <c r="B10" s="41" t="s">
        <v>235</v>
      </c>
      <c r="C10" s="33" t="s">
        <v>273</v>
      </c>
      <c r="D10" s="52" t="s">
        <v>274</v>
      </c>
      <c r="E10" s="53" t="s">
        <v>263</v>
      </c>
      <c r="F10" s="52" t="s">
        <v>275</v>
      </c>
      <c r="G10" s="54"/>
      <c r="H10" s="57"/>
    </row>
    <row r="11" ht="22.5" customHeight="1">
      <c r="A11" s="31">
        <v>10.0</v>
      </c>
      <c r="B11" s="38" t="s">
        <v>269</v>
      </c>
      <c r="C11" s="33" t="s">
        <v>258</v>
      </c>
      <c r="D11" s="52" t="s">
        <v>259</v>
      </c>
      <c r="E11" s="53" t="s">
        <v>263</v>
      </c>
      <c r="F11" s="52" t="s">
        <v>258</v>
      </c>
      <c r="G11" s="54"/>
      <c r="H11" s="57"/>
    </row>
    <row r="12" ht="22.5" customHeight="1">
      <c r="A12" s="31">
        <v>11.0</v>
      </c>
      <c r="B12" s="38" t="s">
        <v>277</v>
      </c>
      <c r="C12" s="33" t="s">
        <v>258</v>
      </c>
      <c r="D12" s="52" t="s">
        <v>274</v>
      </c>
      <c r="E12" s="53" t="s">
        <v>263</v>
      </c>
      <c r="F12" s="52" t="s">
        <v>275</v>
      </c>
      <c r="G12" s="54"/>
      <c r="H12" s="57"/>
    </row>
    <row r="13" ht="22.5" customHeight="1">
      <c r="A13" s="31">
        <v>12.0</v>
      </c>
      <c r="B13" s="38" t="s">
        <v>277</v>
      </c>
      <c r="C13" s="33" t="s">
        <v>265</v>
      </c>
      <c r="D13" s="52" t="s">
        <v>274</v>
      </c>
      <c r="E13" s="53" t="s">
        <v>261</v>
      </c>
      <c r="F13" s="52" t="s">
        <v>275</v>
      </c>
      <c r="G13" s="54"/>
      <c r="H13" s="57"/>
    </row>
    <row r="14" ht="22.5" customHeight="1">
      <c r="A14" s="31">
        <v>13.0</v>
      </c>
      <c r="B14" s="38" t="s">
        <v>283</v>
      </c>
      <c r="C14" s="33" t="s">
        <v>265</v>
      </c>
      <c r="D14" s="52" t="s">
        <v>259</v>
      </c>
      <c r="E14" s="53" t="s">
        <v>261</v>
      </c>
      <c r="F14" s="52" t="s">
        <v>286</v>
      </c>
      <c r="G14" s="54"/>
      <c r="H14" s="57"/>
    </row>
    <row r="15" ht="22.5" customHeight="1">
      <c r="A15" s="58">
        <v>14.0</v>
      </c>
      <c r="B15" s="59" t="s">
        <v>287</v>
      </c>
      <c r="C15" s="60" t="s">
        <v>258</v>
      </c>
      <c r="D15" s="61" t="s">
        <v>259</v>
      </c>
      <c r="E15" s="62" t="s">
        <v>263</v>
      </c>
      <c r="F15" s="61" t="s">
        <v>258</v>
      </c>
      <c r="G15" s="54"/>
      <c r="H15" s="57"/>
    </row>
    <row r="16" ht="22.5" customHeight="1">
      <c r="A16" s="58">
        <v>15.0</v>
      </c>
      <c r="B16" s="59" t="s">
        <v>287</v>
      </c>
      <c r="C16" s="60" t="s">
        <v>258</v>
      </c>
      <c r="D16" s="61" t="s">
        <v>259</v>
      </c>
      <c r="E16" s="62" t="s">
        <v>261</v>
      </c>
      <c r="F16" s="61" t="s">
        <v>286</v>
      </c>
      <c r="G16" s="54"/>
      <c r="H16" s="57"/>
    </row>
    <row r="17" ht="22.5" customHeight="1">
      <c r="A17" s="58">
        <v>16.0</v>
      </c>
      <c r="B17" s="59" t="s">
        <v>287</v>
      </c>
      <c r="C17" s="60" t="s">
        <v>265</v>
      </c>
      <c r="D17" s="61" t="s">
        <v>259</v>
      </c>
      <c r="E17" s="62" t="s">
        <v>261</v>
      </c>
      <c r="F17" s="61" t="s">
        <v>286</v>
      </c>
      <c r="G17" s="54"/>
      <c r="H17" s="57"/>
    </row>
    <row r="18" ht="22.5" customHeight="1">
      <c r="A18" s="58">
        <v>17.0</v>
      </c>
      <c r="B18" s="59" t="s">
        <v>293</v>
      </c>
      <c r="C18" s="60" t="s">
        <v>258</v>
      </c>
      <c r="D18" s="61" t="s">
        <v>259</v>
      </c>
      <c r="E18" s="62" t="s">
        <v>263</v>
      </c>
      <c r="F18" s="61" t="s">
        <v>258</v>
      </c>
      <c r="G18" s="54"/>
      <c r="H18" s="57"/>
    </row>
    <row r="19" ht="22.5" customHeight="1">
      <c r="A19" s="58">
        <v>18.0</v>
      </c>
      <c r="B19" s="59" t="s">
        <v>293</v>
      </c>
      <c r="C19" s="60" t="s">
        <v>258</v>
      </c>
      <c r="D19" s="61" t="s">
        <v>259</v>
      </c>
      <c r="E19" s="62" t="s">
        <v>261</v>
      </c>
      <c r="F19" s="61" t="s">
        <v>286</v>
      </c>
      <c r="G19" s="54"/>
      <c r="H19" s="57"/>
    </row>
    <row r="20" ht="22.5" customHeight="1">
      <c r="A20" s="58">
        <v>19.0</v>
      </c>
      <c r="B20" s="59" t="s">
        <v>296</v>
      </c>
      <c r="C20" s="60" t="s">
        <v>273</v>
      </c>
      <c r="D20" s="61" t="s">
        <v>274</v>
      </c>
      <c r="E20" s="62" t="s">
        <v>263</v>
      </c>
      <c r="F20" s="61" t="s">
        <v>275</v>
      </c>
      <c r="G20" s="54"/>
      <c r="H20" s="57"/>
    </row>
    <row r="21" ht="22.5" customHeight="1">
      <c r="A21" s="31">
        <v>20.0</v>
      </c>
      <c r="B21" s="38" t="s">
        <v>300</v>
      </c>
      <c r="C21" s="33" t="s">
        <v>265</v>
      </c>
      <c r="D21" s="52" t="s">
        <v>266</v>
      </c>
      <c r="E21" s="53" t="s">
        <v>267</v>
      </c>
      <c r="F21" s="52" t="s">
        <v>268</v>
      </c>
      <c r="G21" s="54"/>
      <c r="H21" s="57"/>
    </row>
    <row r="22" ht="22.5" customHeight="1">
      <c r="A22" s="31">
        <v>21.0</v>
      </c>
      <c r="B22" s="38" t="s">
        <v>301</v>
      </c>
      <c r="C22" s="33" t="s">
        <v>258</v>
      </c>
      <c r="D22" s="52" t="s">
        <v>259</v>
      </c>
      <c r="E22" s="53" t="s">
        <v>263</v>
      </c>
      <c r="F22" s="52" t="s">
        <v>258</v>
      </c>
      <c r="G22" s="54"/>
      <c r="H22" s="57"/>
    </row>
    <row r="23" ht="22.5" customHeight="1">
      <c r="A23" s="31">
        <v>22.0</v>
      </c>
      <c r="B23" s="38" t="s">
        <v>301</v>
      </c>
      <c r="C23" s="33" t="s">
        <v>258</v>
      </c>
      <c r="D23" s="52" t="s">
        <v>259</v>
      </c>
      <c r="E23" s="53" t="s">
        <v>263</v>
      </c>
      <c r="F23" s="52" t="s">
        <v>258</v>
      </c>
      <c r="G23" s="54"/>
      <c r="H23" s="57"/>
    </row>
    <row r="24" ht="22.5" customHeight="1">
      <c r="A24" s="31">
        <v>23.0</v>
      </c>
      <c r="B24" s="38" t="s">
        <v>296</v>
      </c>
      <c r="C24" s="33" t="s">
        <v>273</v>
      </c>
      <c r="D24" s="52" t="s">
        <v>274</v>
      </c>
      <c r="E24" s="53" t="s">
        <v>263</v>
      </c>
      <c r="F24" s="52" t="s">
        <v>275</v>
      </c>
      <c r="G24" s="54"/>
      <c r="H24" s="57"/>
    </row>
    <row r="25" ht="22.5" customHeight="1">
      <c r="A25" s="31">
        <v>24.0</v>
      </c>
      <c r="B25" s="38" t="s">
        <v>296</v>
      </c>
      <c r="C25" s="33" t="s">
        <v>273</v>
      </c>
      <c r="D25" s="52" t="s">
        <v>274</v>
      </c>
      <c r="E25" s="53" t="s">
        <v>263</v>
      </c>
      <c r="F25" s="52" t="s">
        <v>275</v>
      </c>
      <c r="G25" s="54"/>
      <c r="H25" s="57"/>
    </row>
    <row r="26" ht="22.5" customHeight="1">
      <c r="A26" s="31">
        <v>25.0</v>
      </c>
      <c r="B26" s="38" t="s">
        <v>296</v>
      </c>
      <c r="C26" s="63" t="s">
        <v>273</v>
      </c>
      <c r="D26" s="52" t="s">
        <v>274</v>
      </c>
      <c r="E26" s="53" t="s">
        <v>263</v>
      </c>
      <c r="F26" s="52" t="s">
        <v>275</v>
      </c>
      <c r="G26" s="64"/>
      <c r="H26" s="57"/>
    </row>
    <row r="27" ht="22.5" customHeight="1">
      <c r="A27" s="31">
        <v>26.0</v>
      </c>
      <c r="B27" s="41" t="s">
        <v>235</v>
      </c>
      <c r="C27" s="33" t="s">
        <v>273</v>
      </c>
      <c r="D27" s="52" t="s">
        <v>274</v>
      </c>
      <c r="E27" s="53" t="s">
        <v>263</v>
      </c>
      <c r="F27" s="52" t="s">
        <v>275</v>
      </c>
      <c r="G27" s="54"/>
      <c r="H27" s="57"/>
    </row>
    <row r="28" ht="22.5" customHeight="1">
      <c r="A28" s="31">
        <v>27.0</v>
      </c>
      <c r="B28" s="38" t="s">
        <v>308</v>
      </c>
      <c r="C28" s="33" t="s">
        <v>258</v>
      </c>
      <c r="D28" s="52" t="s">
        <v>259</v>
      </c>
      <c r="E28" s="53" t="s">
        <v>261</v>
      </c>
      <c r="F28" s="52" t="s">
        <v>316</v>
      </c>
      <c r="G28" s="54"/>
      <c r="H28" s="57"/>
    </row>
    <row r="29" ht="22.5" customHeight="1">
      <c r="A29" s="31">
        <v>28.0</v>
      </c>
      <c r="B29" s="38" t="s">
        <v>308</v>
      </c>
      <c r="C29" s="63" t="s">
        <v>265</v>
      </c>
      <c r="D29" s="52" t="s">
        <v>266</v>
      </c>
      <c r="E29" s="53" t="s">
        <v>267</v>
      </c>
      <c r="F29" s="52" t="s">
        <v>268</v>
      </c>
      <c r="G29" s="64"/>
      <c r="H29" s="57"/>
    </row>
    <row r="30" ht="22.5" customHeight="1">
      <c r="A30" s="31">
        <v>29.0</v>
      </c>
      <c r="B30" s="41" t="s">
        <v>235</v>
      </c>
      <c r="C30" s="33" t="s">
        <v>273</v>
      </c>
      <c r="D30" s="52" t="s">
        <v>274</v>
      </c>
      <c r="E30" s="53" t="s">
        <v>263</v>
      </c>
      <c r="F30" s="52" t="s">
        <v>275</v>
      </c>
      <c r="G30" s="54"/>
      <c r="H30" s="57"/>
    </row>
    <row r="31" ht="22.5" customHeight="1">
      <c r="A31" s="31">
        <v>30.0</v>
      </c>
      <c r="B31" s="38" t="s">
        <v>236</v>
      </c>
      <c r="C31" s="33" t="s">
        <v>265</v>
      </c>
      <c r="D31" s="52" t="s">
        <v>259</v>
      </c>
      <c r="E31" s="53" t="s">
        <v>261</v>
      </c>
      <c r="F31" s="52" t="s">
        <v>316</v>
      </c>
      <c r="G31" s="54"/>
      <c r="H31" s="57"/>
    </row>
    <row r="32" ht="22.5" customHeight="1">
      <c r="A32" s="31">
        <v>31.0</v>
      </c>
      <c r="B32" s="41" t="s">
        <v>235</v>
      </c>
      <c r="C32" s="33" t="s">
        <v>273</v>
      </c>
      <c r="D32" s="52" t="s">
        <v>274</v>
      </c>
      <c r="E32" s="53" t="s">
        <v>263</v>
      </c>
      <c r="F32" s="52" t="s">
        <v>275</v>
      </c>
      <c r="G32" s="54"/>
      <c r="H32" s="57"/>
    </row>
    <row r="33" ht="22.5" customHeight="1">
      <c r="A33" s="31">
        <v>32.0</v>
      </c>
      <c r="B33" s="38" t="s">
        <v>312</v>
      </c>
      <c r="C33" s="33" t="s">
        <v>265</v>
      </c>
      <c r="D33" s="52" t="s">
        <v>259</v>
      </c>
      <c r="E33" s="53" t="s">
        <v>261</v>
      </c>
      <c r="F33" s="52" t="s">
        <v>286</v>
      </c>
      <c r="G33" s="54"/>
      <c r="H33" s="57"/>
    </row>
    <row r="34" ht="22.5" customHeight="1">
      <c r="A34" s="31">
        <v>33.0</v>
      </c>
      <c r="B34" s="38" t="s">
        <v>312</v>
      </c>
      <c r="C34" s="33" t="s">
        <v>258</v>
      </c>
      <c r="D34" s="52" t="s">
        <v>259</v>
      </c>
      <c r="E34" s="53" t="s">
        <v>263</v>
      </c>
      <c r="F34" s="52" t="s">
        <v>258</v>
      </c>
      <c r="G34" s="54"/>
      <c r="H34" s="57"/>
    </row>
    <row r="35" ht="22.5" customHeight="1">
      <c r="A35" s="31">
        <v>34.0</v>
      </c>
      <c r="B35" s="41" t="s">
        <v>235</v>
      </c>
      <c r="C35" s="33" t="s">
        <v>273</v>
      </c>
      <c r="D35" s="52" t="s">
        <v>274</v>
      </c>
      <c r="E35" s="53" t="s">
        <v>263</v>
      </c>
      <c r="F35" s="52" t="s">
        <v>275</v>
      </c>
      <c r="G35" s="54"/>
      <c r="H35" s="57"/>
    </row>
    <row r="36">
      <c r="A36" s="65"/>
    </row>
    <row r="37">
      <c r="A37" s="66"/>
    </row>
    <row r="38">
      <c r="A38" s="66"/>
    </row>
    <row r="39">
      <c r="A39" s="66"/>
    </row>
    <row r="40">
      <c r="A40" s="66"/>
    </row>
    <row r="41">
      <c r="A41" s="66"/>
    </row>
    <row r="42">
      <c r="A42" s="66"/>
    </row>
    <row r="43">
      <c r="A43" s="66"/>
    </row>
    <row r="44">
      <c r="A44" s="66"/>
    </row>
    <row r="45">
      <c r="A45" s="66"/>
    </row>
    <row r="46">
      <c r="A46" s="66"/>
    </row>
    <row r="47">
      <c r="A47" s="66"/>
    </row>
    <row r="48">
      <c r="A48" s="66"/>
    </row>
    <row r="49">
      <c r="A49" s="66"/>
    </row>
    <row r="50">
      <c r="A50" s="66"/>
    </row>
    <row r="51">
      <c r="A51" s="66"/>
    </row>
    <row r="52">
      <c r="A52" s="66"/>
    </row>
    <row r="53">
      <c r="A53" s="66"/>
    </row>
    <row r="54">
      <c r="A54" s="66"/>
    </row>
    <row r="55">
      <c r="A55" s="66"/>
    </row>
    <row r="56">
      <c r="A56" s="66"/>
    </row>
    <row r="57">
      <c r="A57" s="66"/>
    </row>
    <row r="58">
      <c r="A58" s="66"/>
    </row>
    <row r="59">
      <c r="A59" s="66"/>
    </row>
    <row r="60">
      <c r="A60" s="66"/>
    </row>
    <row r="61">
      <c r="A61" s="66"/>
    </row>
    <row r="62">
      <c r="A62" s="66"/>
    </row>
    <row r="63">
      <c r="A63" s="66"/>
    </row>
    <row r="64">
      <c r="A64" s="66"/>
    </row>
    <row r="65">
      <c r="A65" s="66"/>
    </row>
    <row r="66">
      <c r="A66" s="66"/>
    </row>
    <row r="67">
      <c r="A67" s="66"/>
    </row>
    <row r="68">
      <c r="A68" s="66"/>
    </row>
    <row r="69">
      <c r="A69" s="66"/>
    </row>
    <row r="70">
      <c r="A70" s="66"/>
    </row>
    <row r="71">
      <c r="A71" s="65"/>
    </row>
    <row r="72">
      <c r="A72" s="66"/>
    </row>
    <row r="73">
      <c r="A73" s="66"/>
    </row>
    <row r="74">
      <c r="A74" s="66"/>
    </row>
    <row r="75">
      <c r="A75" s="66"/>
    </row>
    <row r="76">
      <c r="A76" s="66"/>
    </row>
    <row r="77">
      <c r="A77" s="66"/>
    </row>
    <row r="78">
      <c r="A78" s="66"/>
    </row>
    <row r="79">
      <c r="A79" s="66"/>
    </row>
    <row r="80">
      <c r="A80" s="66"/>
    </row>
    <row r="81">
      <c r="A81" s="66"/>
    </row>
    <row r="82">
      <c r="A82" s="66"/>
    </row>
    <row r="83">
      <c r="A83" s="66"/>
    </row>
    <row r="84">
      <c r="A84" s="66"/>
    </row>
    <row r="85">
      <c r="A85" s="66"/>
    </row>
    <row r="86">
      <c r="A86" s="66"/>
    </row>
    <row r="87">
      <c r="A87" s="66"/>
    </row>
    <row r="88">
      <c r="A88" s="66"/>
    </row>
    <row r="89">
      <c r="A89" s="66"/>
    </row>
    <row r="90">
      <c r="A90" s="66"/>
    </row>
    <row r="91">
      <c r="A91" s="66"/>
    </row>
    <row r="92">
      <c r="A92" s="66"/>
    </row>
    <row r="93">
      <c r="A93" s="66"/>
    </row>
    <row r="94">
      <c r="A94" s="66"/>
    </row>
    <row r="95">
      <c r="A95" s="66"/>
    </row>
    <row r="96">
      <c r="A96" s="66"/>
    </row>
    <row r="97">
      <c r="A97" s="66"/>
    </row>
    <row r="98">
      <c r="A98" s="66"/>
    </row>
    <row r="99">
      <c r="A99" s="66"/>
    </row>
    <row r="100">
      <c r="A100" s="66"/>
    </row>
    <row r="101">
      <c r="A101" s="66"/>
    </row>
    <row r="102">
      <c r="A102" s="66"/>
    </row>
    <row r="103">
      <c r="A103" s="66"/>
    </row>
    <row r="104">
      <c r="A104" s="66"/>
    </row>
    <row r="105">
      <c r="A105" s="66"/>
    </row>
    <row r="106">
      <c r="A106" s="65"/>
    </row>
    <row r="107">
      <c r="A107" s="66"/>
    </row>
    <row r="108">
      <c r="A108" s="66"/>
    </row>
    <row r="109">
      <c r="A109" s="66"/>
    </row>
    <row r="110">
      <c r="A110" s="66"/>
    </row>
    <row r="111">
      <c r="A111" s="66"/>
    </row>
    <row r="112">
      <c r="A112" s="66"/>
    </row>
    <row r="113">
      <c r="A113" s="66"/>
    </row>
    <row r="114">
      <c r="A114" s="66"/>
    </row>
    <row r="115">
      <c r="A115" s="66"/>
    </row>
    <row r="116">
      <c r="A116" s="66"/>
    </row>
    <row r="117">
      <c r="A117" s="66"/>
    </row>
    <row r="118">
      <c r="A118" s="66"/>
    </row>
    <row r="119">
      <c r="A119" s="66"/>
    </row>
    <row r="120">
      <c r="A120" s="66"/>
    </row>
    <row r="121">
      <c r="A121" s="66"/>
    </row>
    <row r="122">
      <c r="A122" s="66"/>
    </row>
    <row r="123">
      <c r="A123" s="66"/>
    </row>
    <row r="124">
      <c r="A124" s="66"/>
    </row>
    <row r="125">
      <c r="A125" s="66"/>
    </row>
    <row r="126">
      <c r="A126" s="66"/>
    </row>
    <row r="127">
      <c r="A127" s="66"/>
    </row>
    <row r="128">
      <c r="A128" s="66"/>
    </row>
    <row r="129">
      <c r="A129" s="66"/>
    </row>
    <row r="130">
      <c r="A130" s="66"/>
    </row>
    <row r="131">
      <c r="A131" s="66"/>
    </row>
    <row r="132">
      <c r="A132" s="66"/>
    </row>
    <row r="133">
      <c r="A133" s="66"/>
    </row>
    <row r="134">
      <c r="A134" s="66"/>
    </row>
    <row r="135">
      <c r="A135" s="66"/>
    </row>
    <row r="136">
      <c r="A136" s="66"/>
    </row>
    <row r="137">
      <c r="A137" s="66"/>
    </row>
    <row r="138">
      <c r="A138" s="66"/>
    </row>
    <row r="139">
      <c r="A139" s="66"/>
    </row>
    <row r="140">
      <c r="A140" s="66"/>
    </row>
    <row r="141">
      <c r="A141" s="65"/>
    </row>
    <row r="142">
      <c r="A142" s="66"/>
    </row>
    <row r="143">
      <c r="A143" s="66"/>
    </row>
    <row r="144">
      <c r="A144" s="66"/>
    </row>
    <row r="145">
      <c r="A145" s="66"/>
    </row>
    <row r="146">
      <c r="A146" s="66"/>
    </row>
    <row r="147">
      <c r="A147" s="66"/>
    </row>
    <row r="148">
      <c r="A148" s="66"/>
    </row>
    <row r="149">
      <c r="A149" s="66"/>
    </row>
    <row r="150">
      <c r="A150" s="66"/>
    </row>
    <row r="151">
      <c r="A151" s="66"/>
    </row>
    <row r="152">
      <c r="A152" s="66"/>
    </row>
    <row r="153">
      <c r="A153" s="66"/>
    </row>
    <row r="154">
      <c r="A154" s="66"/>
    </row>
    <row r="155">
      <c r="A155" s="66"/>
    </row>
    <row r="156">
      <c r="A156" s="66"/>
    </row>
    <row r="157">
      <c r="A157" s="66"/>
    </row>
    <row r="158">
      <c r="A158" s="66"/>
    </row>
    <row r="159">
      <c r="A159" s="66"/>
    </row>
    <row r="160">
      <c r="A160" s="66"/>
    </row>
    <row r="161">
      <c r="A161" s="66"/>
    </row>
    <row r="162">
      <c r="A162" s="66"/>
    </row>
    <row r="163">
      <c r="A163" s="66"/>
    </row>
    <row r="164">
      <c r="A164" s="66"/>
    </row>
    <row r="165">
      <c r="A165" s="66"/>
    </row>
    <row r="166">
      <c r="A166" s="66"/>
    </row>
    <row r="167">
      <c r="A167" s="66"/>
    </row>
    <row r="168">
      <c r="A168" s="66"/>
    </row>
    <row r="169">
      <c r="A169" s="66"/>
    </row>
    <row r="170">
      <c r="A170" s="66"/>
    </row>
    <row r="171">
      <c r="A171" s="66"/>
    </row>
    <row r="172">
      <c r="A172" s="66"/>
    </row>
    <row r="173">
      <c r="A173" s="66"/>
    </row>
    <row r="174">
      <c r="A174" s="66"/>
    </row>
    <row r="175">
      <c r="A175" s="66"/>
    </row>
    <row r="176">
      <c r="A176" s="65"/>
    </row>
    <row r="177">
      <c r="A177" s="66"/>
    </row>
    <row r="178">
      <c r="A178" s="66"/>
    </row>
    <row r="179">
      <c r="A179" s="66"/>
    </row>
    <row r="180">
      <c r="A180" s="66"/>
    </row>
    <row r="181">
      <c r="A181" s="66"/>
    </row>
    <row r="182">
      <c r="A182" s="66"/>
    </row>
    <row r="183">
      <c r="A183" s="66"/>
    </row>
    <row r="184">
      <c r="A184" s="66"/>
    </row>
    <row r="185">
      <c r="A185" s="66"/>
    </row>
    <row r="186">
      <c r="A186" s="66"/>
    </row>
    <row r="187">
      <c r="A187" s="66"/>
    </row>
    <row r="188">
      <c r="A188" s="66"/>
    </row>
    <row r="189">
      <c r="A189" s="66"/>
    </row>
    <row r="190">
      <c r="A190" s="66"/>
    </row>
    <row r="191">
      <c r="A191" s="66"/>
    </row>
    <row r="192">
      <c r="A192" s="66"/>
    </row>
    <row r="193">
      <c r="A193" s="66"/>
    </row>
    <row r="194">
      <c r="A194" s="66"/>
    </row>
    <row r="195">
      <c r="A195" s="66"/>
    </row>
    <row r="196">
      <c r="A196" s="66"/>
    </row>
    <row r="197">
      <c r="A197" s="66"/>
    </row>
    <row r="198">
      <c r="A198" s="66"/>
    </row>
    <row r="199">
      <c r="A199" s="66"/>
    </row>
    <row r="200">
      <c r="A200" s="66"/>
    </row>
    <row r="201">
      <c r="A201" s="66"/>
    </row>
    <row r="202">
      <c r="A202" s="66"/>
    </row>
    <row r="203">
      <c r="A203" s="66"/>
    </row>
    <row r="204">
      <c r="A204" s="66"/>
    </row>
    <row r="205">
      <c r="A205" s="66"/>
    </row>
    <row r="206">
      <c r="A206" s="66"/>
    </row>
    <row r="207">
      <c r="A207" s="66"/>
    </row>
    <row r="208">
      <c r="A208" s="66"/>
    </row>
    <row r="209">
      <c r="A209" s="66"/>
    </row>
    <row r="210">
      <c r="A210" s="66"/>
    </row>
    <row r="211">
      <c r="A211" s="65"/>
    </row>
    <row r="212">
      <c r="A212" s="66"/>
    </row>
    <row r="213">
      <c r="A213" s="66"/>
    </row>
    <row r="214">
      <c r="A214" s="66"/>
    </row>
    <row r="215">
      <c r="A215" s="66"/>
    </row>
    <row r="216">
      <c r="A216" s="66"/>
    </row>
    <row r="217">
      <c r="A217" s="66"/>
    </row>
    <row r="218">
      <c r="A218" s="66"/>
    </row>
    <row r="219">
      <c r="A219" s="66"/>
    </row>
    <row r="220">
      <c r="A220" s="66"/>
    </row>
    <row r="221">
      <c r="A221" s="66"/>
    </row>
    <row r="222">
      <c r="A222" s="66"/>
    </row>
    <row r="223">
      <c r="A223" s="66"/>
    </row>
    <row r="224">
      <c r="A224" s="66"/>
    </row>
    <row r="225">
      <c r="A225" s="66"/>
    </row>
    <row r="226">
      <c r="A226" s="66"/>
    </row>
    <row r="227">
      <c r="A227" s="66"/>
    </row>
    <row r="228">
      <c r="A228" s="66"/>
    </row>
    <row r="229">
      <c r="A229" s="66"/>
    </row>
    <row r="230">
      <c r="A230" s="66"/>
    </row>
    <row r="231">
      <c r="A231" s="66"/>
    </row>
    <row r="232">
      <c r="A232" s="66"/>
    </row>
    <row r="233">
      <c r="A233" s="66"/>
    </row>
    <row r="234">
      <c r="A234" s="66"/>
    </row>
    <row r="235">
      <c r="A235" s="66"/>
    </row>
    <row r="236">
      <c r="A236" s="66"/>
    </row>
    <row r="237">
      <c r="A237" s="66"/>
    </row>
    <row r="238">
      <c r="A238" s="66"/>
    </row>
    <row r="239">
      <c r="A239" s="66"/>
    </row>
    <row r="240">
      <c r="A240" s="66"/>
    </row>
    <row r="241">
      <c r="A241" s="66"/>
    </row>
    <row r="242">
      <c r="A242" s="66"/>
    </row>
    <row r="243">
      <c r="A243" s="66"/>
    </row>
    <row r="244">
      <c r="A244" s="66"/>
    </row>
    <row r="245">
      <c r="A245" s="66"/>
    </row>
    <row r="246">
      <c r="A246" s="65"/>
    </row>
    <row r="247">
      <c r="A247" s="66"/>
    </row>
    <row r="248">
      <c r="A248" s="66"/>
    </row>
    <row r="249">
      <c r="A249" s="66"/>
    </row>
    <row r="250">
      <c r="A250" s="66"/>
    </row>
    <row r="251">
      <c r="A251" s="66"/>
    </row>
    <row r="252">
      <c r="A252" s="66"/>
    </row>
    <row r="253">
      <c r="A253" s="66"/>
    </row>
    <row r="254">
      <c r="A254" s="66"/>
    </row>
    <row r="255">
      <c r="A255" s="66"/>
    </row>
    <row r="256">
      <c r="A256" s="66"/>
    </row>
    <row r="257">
      <c r="A257" s="66"/>
    </row>
    <row r="258">
      <c r="A258" s="66"/>
    </row>
    <row r="259">
      <c r="A259" s="66"/>
    </row>
    <row r="260">
      <c r="A260" s="66"/>
    </row>
    <row r="261">
      <c r="A261" s="66"/>
    </row>
    <row r="262">
      <c r="A262" s="66"/>
    </row>
    <row r="263">
      <c r="A263" s="66"/>
    </row>
    <row r="264">
      <c r="A264" s="66"/>
    </row>
    <row r="265">
      <c r="A265" s="66"/>
    </row>
    <row r="266">
      <c r="A266" s="66"/>
    </row>
    <row r="267">
      <c r="A267" s="66"/>
    </row>
    <row r="268">
      <c r="A268" s="66"/>
    </row>
    <row r="269">
      <c r="A269" s="66"/>
    </row>
    <row r="270">
      <c r="A270" s="66"/>
    </row>
    <row r="271">
      <c r="A271" s="66"/>
    </row>
    <row r="272">
      <c r="A272" s="66"/>
    </row>
    <row r="273">
      <c r="A273" s="66"/>
    </row>
    <row r="274">
      <c r="A274" s="66"/>
    </row>
    <row r="275">
      <c r="A275" s="66"/>
    </row>
    <row r="276">
      <c r="A276" s="66"/>
    </row>
    <row r="277">
      <c r="A277" s="66"/>
    </row>
    <row r="278">
      <c r="A278" s="66"/>
    </row>
    <row r="279">
      <c r="A279" s="66"/>
    </row>
    <row r="280">
      <c r="A280" s="66"/>
    </row>
    <row r="281">
      <c r="A281" s="65"/>
    </row>
    <row r="282">
      <c r="A282" s="66"/>
    </row>
    <row r="283">
      <c r="A283" s="66"/>
    </row>
    <row r="284">
      <c r="A284" s="66"/>
    </row>
    <row r="285">
      <c r="A285" s="66"/>
    </row>
    <row r="286">
      <c r="A286" s="66"/>
    </row>
    <row r="287">
      <c r="A287" s="66"/>
    </row>
    <row r="288">
      <c r="A288" s="66"/>
    </row>
    <row r="289">
      <c r="A289" s="66"/>
    </row>
    <row r="290">
      <c r="A290" s="66"/>
    </row>
    <row r="291">
      <c r="A291" s="66"/>
    </row>
    <row r="292">
      <c r="A292" s="66"/>
    </row>
    <row r="293">
      <c r="A293" s="66"/>
    </row>
    <row r="294">
      <c r="A294" s="66"/>
    </row>
    <row r="295">
      <c r="A295" s="66"/>
    </row>
    <row r="296">
      <c r="A296" s="66"/>
    </row>
    <row r="297">
      <c r="A297" s="66"/>
    </row>
    <row r="298">
      <c r="A298" s="66"/>
    </row>
    <row r="299">
      <c r="A299" s="66"/>
    </row>
    <row r="300">
      <c r="A300" s="66"/>
    </row>
    <row r="301">
      <c r="A301" s="66"/>
    </row>
    <row r="302">
      <c r="A302" s="66"/>
    </row>
    <row r="303">
      <c r="A303" s="66"/>
    </row>
    <row r="304">
      <c r="A304" s="66"/>
    </row>
    <row r="305">
      <c r="A305" s="66"/>
    </row>
    <row r="306">
      <c r="A306" s="66"/>
    </row>
    <row r="307">
      <c r="A307" s="66"/>
    </row>
    <row r="308">
      <c r="A308" s="66"/>
    </row>
    <row r="309">
      <c r="A309" s="66"/>
    </row>
    <row r="310">
      <c r="A310" s="66"/>
    </row>
    <row r="311">
      <c r="A311" s="66"/>
    </row>
    <row r="312">
      <c r="A312" s="66"/>
    </row>
    <row r="313">
      <c r="A313" s="66"/>
    </row>
    <row r="314">
      <c r="A314" s="66"/>
    </row>
    <row r="315">
      <c r="A315" s="66"/>
    </row>
    <row r="316">
      <c r="A316" s="65"/>
    </row>
    <row r="317">
      <c r="A317" s="66"/>
    </row>
    <row r="318">
      <c r="A318" s="66"/>
    </row>
    <row r="319">
      <c r="A319" s="66"/>
    </row>
    <row r="320">
      <c r="A320" s="66"/>
    </row>
    <row r="321">
      <c r="A321" s="66"/>
    </row>
    <row r="322">
      <c r="A322" s="66"/>
    </row>
    <row r="323">
      <c r="A323" s="66"/>
    </row>
    <row r="324">
      <c r="A324" s="66"/>
    </row>
    <row r="325">
      <c r="A325" s="66"/>
    </row>
    <row r="326">
      <c r="A326" s="66"/>
    </row>
    <row r="327">
      <c r="A327" s="66"/>
    </row>
    <row r="328">
      <c r="A328" s="66"/>
    </row>
    <row r="329">
      <c r="A329" s="66"/>
    </row>
    <row r="330">
      <c r="A330" s="66"/>
    </row>
    <row r="331">
      <c r="A331" s="66"/>
    </row>
    <row r="332">
      <c r="A332" s="66"/>
    </row>
    <row r="333">
      <c r="A333" s="66"/>
    </row>
    <row r="334">
      <c r="A334" s="66"/>
    </row>
    <row r="335">
      <c r="A335" s="66"/>
    </row>
    <row r="336">
      <c r="A336" s="66"/>
    </row>
    <row r="337">
      <c r="A337" s="66"/>
    </row>
    <row r="338">
      <c r="A338" s="66"/>
    </row>
    <row r="339">
      <c r="A339" s="66"/>
    </row>
    <row r="340">
      <c r="A340" s="66"/>
    </row>
    <row r="341">
      <c r="A341" s="66"/>
    </row>
    <row r="342">
      <c r="A342" s="66"/>
    </row>
    <row r="343">
      <c r="A343" s="66"/>
    </row>
    <row r="344">
      <c r="A344" s="66"/>
    </row>
    <row r="345">
      <c r="A345" s="66"/>
    </row>
    <row r="346">
      <c r="A346" s="66"/>
    </row>
    <row r="347">
      <c r="A347" s="66"/>
    </row>
    <row r="348">
      <c r="A348" s="66"/>
    </row>
    <row r="349">
      <c r="A349" s="66"/>
    </row>
    <row r="350">
      <c r="A350" s="66"/>
    </row>
    <row r="351">
      <c r="A351" s="65"/>
    </row>
    <row r="352">
      <c r="A352" s="66"/>
    </row>
    <row r="353">
      <c r="A353" s="66"/>
    </row>
    <row r="354">
      <c r="A354" s="66"/>
    </row>
    <row r="355">
      <c r="A355" s="66"/>
    </row>
    <row r="356">
      <c r="A356" s="66"/>
    </row>
    <row r="357">
      <c r="A357" s="66"/>
    </row>
    <row r="358">
      <c r="A358" s="66"/>
    </row>
    <row r="359">
      <c r="A359" s="66"/>
    </row>
    <row r="360">
      <c r="A360" s="66"/>
    </row>
    <row r="361">
      <c r="A361" s="66"/>
    </row>
    <row r="362">
      <c r="A362" s="66"/>
    </row>
    <row r="363">
      <c r="A363" s="66"/>
    </row>
    <row r="364">
      <c r="A364" s="66"/>
    </row>
    <row r="365">
      <c r="A365" s="66"/>
    </row>
    <row r="366">
      <c r="A366" s="66"/>
    </row>
    <row r="367">
      <c r="A367" s="66"/>
    </row>
    <row r="368">
      <c r="A368" s="66"/>
    </row>
    <row r="369">
      <c r="A369" s="66"/>
    </row>
    <row r="370">
      <c r="A370" s="66"/>
    </row>
    <row r="371">
      <c r="A371" s="66"/>
    </row>
    <row r="372">
      <c r="A372" s="66"/>
    </row>
    <row r="373">
      <c r="A373" s="66"/>
    </row>
    <row r="374">
      <c r="A374" s="66"/>
    </row>
    <row r="375">
      <c r="A375" s="66"/>
    </row>
    <row r="376">
      <c r="A376" s="66"/>
    </row>
    <row r="377">
      <c r="A377" s="66"/>
    </row>
    <row r="378">
      <c r="A378" s="66"/>
    </row>
    <row r="379">
      <c r="A379" s="66"/>
    </row>
    <row r="380">
      <c r="A380" s="66"/>
    </row>
    <row r="381">
      <c r="A381" s="66"/>
    </row>
    <row r="382">
      <c r="A382" s="66"/>
    </row>
    <row r="383">
      <c r="A383" s="66"/>
    </row>
    <row r="384">
      <c r="A384" s="66"/>
    </row>
    <row r="385">
      <c r="A385" s="66"/>
    </row>
    <row r="386">
      <c r="A386" s="65"/>
    </row>
    <row r="387">
      <c r="A387" s="66"/>
    </row>
    <row r="388">
      <c r="A388" s="66"/>
    </row>
    <row r="389">
      <c r="A389" s="66"/>
    </row>
    <row r="390">
      <c r="A390" s="66"/>
    </row>
    <row r="391">
      <c r="A391" s="66"/>
    </row>
    <row r="392">
      <c r="A392" s="66"/>
    </row>
    <row r="393">
      <c r="A393" s="66"/>
    </row>
    <row r="394">
      <c r="A394" s="66"/>
    </row>
    <row r="395">
      <c r="A395" s="66"/>
    </row>
    <row r="396">
      <c r="A396" s="66"/>
    </row>
    <row r="397">
      <c r="A397" s="66"/>
    </row>
    <row r="398">
      <c r="A398" s="66"/>
    </row>
    <row r="399">
      <c r="A399" s="66"/>
    </row>
    <row r="400">
      <c r="A400" s="66"/>
    </row>
    <row r="401">
      <c r="A401" s="66"/>
    </row>
    <row r="402">
      <c r="A402" s="66"/>
    </row>
    <row r="403">
      <c r="A403" s="66"/>
    </row>
    <row r="404">
      <c r="A404" s="66"/>
    </row>
    <row r="405">
      <c r="A405" s="66"/>
    </row>
    <row r="406">
      <c r="A406" s="66"/>
    </row>
    <row r="407">
      <c r="A407" s="66"/>
    </row>
    <row r="408">
      <c r="A408" s="66"/>
    </row>
    <row r="409">
      <c r="A409" s="66"/>
    </row>
    <row r="410">
      <c r="A410" s="66"/>
    </row>
    <row r="411">
      <c r="A411" s="66"/>
    </row>
    <row r="412">
      <c r="A412" s="66"/>
    </row>
    <row r="413">
      <c r="A413" s="66"/>
    </row>
    <row r="414">
      <c r="A414" s="66"/>
    </row>
    <row r="415">
      <c r="A415" s="66"/>
    </row>
    <row r="416">
      <c r="A416" s="66"/>
    </row>
    <row r="417">
      <c r="A417" s="66"/>
    </row>
    <row r="418">
      <c r="A418" s="66"/>
    </row>
    <row r="419">
      <c r="A419" s="66"/>
    </row>
    <row r="420">
      <c r="A420" s="66"/>
    </row>
    <row r="421">
      <c r="A421" s="65"/>
    </row>
    <row r="422">
      <c r="A422" s="66"/>
    </row>
    <row r="423">
      <c r="A423" s="66"/>
    </row>
    <row r="424">
      <c r="A424" s="66"/>
    </row>
    <row r="425">
      <c r="A425" s="66"/>
    </row>
    <row r="426">
      <c r="A426" s="66"/>
    </row>
    <row r="427">
      <c r="A427" s="66"/>
    </row>
    <row r="428">
      <c r="A428" s="66"/>
    </row>
    <row r="429">
      <c r="A429" s="66"/>
    </row>
    <row r="430">
      <c r="A430" s="66"/>
    </row>
    <row r="431">
      <c r="A431" s="66"/>
    </row>
    <row r="432">
      <c r="A432" s="66"/>
    </row>
    <row r="433">
      <c r="A433" s="66"/>
    </row>
    <row r="434">
      <c r="A434" s="66"/>
    </row>
    <row r="435">
      <c r="A435" s="66"/>
    </row>
    <row r="436">
      <c r="A436" s="66"/>
    </row>
    <row r="437">
      <c r="A437" s="66"/>
    </row>
    <row r="438">
      <c r="A438" s="66"/>
    </row>
    <row r="439">
      <c r="A439" s="66"/>
    </row>
    <row r="440">
      <c r="A440" s="66"/>
    </row>
    <row r="441">
      <c r="A441" s="66"/>
    </row>
    <row r="442">
      <c r="A442" s="66"/>
    </row>
    <row r="443">
      <c r="A443" s="66"/>
    </row>
    <row r="444">
      <c r="A444" s="66"/>
    </row>
    <row r="445">
      <c r="A445" s="66"/>
    </row>
    <row r="446">
      <c r="A446" s="66"/>
    </row>
    <row r="447">
      <c r="A447" s="66"/>
    </row>
    <row r="448">
      <c r="A448" s="66"/>
    </row>
    <row r="449">
      <c r="A449" s="66"/>
    </row>
    <row r="450">
      <c r="A450" s="66"/>
    </row>
    <row r="451">
      <c r="A451" s="66"/>
    </row>
    <row r="452">
      <c r="A452" s="66"/>
    </row>
    <row r="453">
      <c r="A453" s="66"/>
    </row>
    <row r="454">
      <c r="A454" s="66"/>
    </row>
    <row r="455">
      <c r="A455" s="66"/>
    </row>
    <row r="456">
      <c r="A456" s="65"/>
    </row>
    <row r="457">
      <c r="A457" s="66"/>
    </row>
    <row r="458">
      <c r="A458" s="66"/>
    </row>
    <row r="459">
      <c r="A459" s="66"/>
    </row>
    <row r="460">
      <c r="A460" s="66"/>
    </row>
    <row r="461">
      <c r="A461" s="66"/>
    </row>
    <row r="462">
      <c r="A462" s="66"/>
    </row>
    <row r="463">
      <c r="A463" s="66"/>
    </row>
    <row r="464">
      <c r="A464" s="66"/>
    </row>
    <row r="465">
      <c r="A465" s="66"/>
    </row>
    <row r="466">
      <c r="A466" s="66"/>
    </row>
    <row r="467">
      <c r="A467" s="66"/>
    </row>
    <row r="468">
      <c r="A468" s="66"/>
    </row>
    <row r="469">
      <c r="A469" s="66"/>
    </row>
    <row r="470">
      <c r="A470" s="66"/>
    </row>
    <row r="471">
      <c r="A471" s="66"/>
    </row>
    <row r="472">
      <c r="A472" s="66"/>
    </row>
    <row r="473">
      <c r="A473" s="66"/>
    </row>
    <row r="474">
      <c r="A474" s="66"/>
    </row>
    <row r="475">
      <c r="A475" s="66"/>
    </row>
    <row r="476">
      <c r="A476" s="66"/>
    </row>
    <row r="477">
      <c r="A477" s="66"/>
    </row>
    <row r="478">
      <c r="A478" s="66"/>
    </row>
    <row r="479">
      <c r="A479" s="66"/>
    </row>
    <row r="480">
      <c r="A480" s="66"/>
    </row>
    <row r="481">
      <c r="A481" s="66"/>
    </row>
    <row r="482">
      <c r="A482" s="66"/>
    </row>
    <row r="483">
      <c r="A483" s="66"/>
    </row>
    <row r="484">
      <c r="A484" s="66"/>
    </row>
    <row r="485">
      <c r="A485" s="66"/>
    </row>
    <row r="486">
      <c r="A486" s="66"/>
    </row>
    <row r="487">
      <c r="A487" s="66"/>
    </row>
    <row r="488">
      <c r="A488" s="66"/>
    </row>
    <row r="489">
      <c r="A489" s="66"/>
    </row>
    <row r="490">
      <c r="A490" s="66"/>
    </row>
    <row r="491">
      <c r="A491" s="65"/>
    </row>
    <row r="492">
      <c r="A492" s="66"/>
    </row>
    <row r="493">
      <c r="A493" s="66"/>
    </row>
    <row r="494">
      <c r="A494" s="66"/>
    </row>
    <row r="495">
      <c r="A495" s="66"/>
    </row>
    <row r="496">
      <c r="A496" s="66"/>
    </row>
    <row r="497">
      <c r="A497" s="66"/>
    </row>
    <row r="498">
      <c r="A498" s="66"/>
    </row>
    <row r="499">
      <c r="A499" s="66"/>
    </row>
    <row r="500">
      <c r="A500" s="66"/>
    </row>
    <row r="501">
      <c r="A501" s="66"/>
    </row>
    <row r="502">
      <c r="A502" s="66"/>
    </row>
    <row r="503">
      <c r="A503" s="66"/>
    </row>
    <row r="504">
      <c r="A504" s="66"/>
    </row>
    <row r="505">
      <c r="A505" s="66"/>
    </row>
    <row r="506">
      <c r="A506" s="66"/>
    </row>
    <row r="507">
      <c r="A507" s="66"/>
    </row>
    <row r="508">
      <c r="A508" s="66"/>
    </row>
    <row r="509">
      <c r="A509" s="66"/>
    </row>
    <row r="510">
      <c r="A510" s="66"/>
    </row>
    <row r="511">
      <c r="A511" s="66"/>
    </row>
    <row r="512">
      <c r="A512" s="66"/>
    </row>
    <row r="513">
      <c r="A513" s="66"/>
    </row>
    <row r="514">
      <c r="A514" s="66"/>
    </row>
    <row r="515">
      <c r="A515" s="66"/>
    </row>
    <row r="516">
      <c r="A516" s="66"/>
    </row>
    <row r="517">
      <c r="A517" s="66"/>
    </row>
    <row r="518">
      <c r="A518" s="66"/>
    </row>
    <row r="519">
      <c r="A519" s="66"/>
    </row>
    <row r="520">
      <c r="A520" s="66"/>
    </row>
    <row r="521">
      <c r="A521" s="66"/>
    </row>
    <row r="522">
      <c r="A522" s="66"/>
    </row>
    <row r="523">
      <c r="A523" s="66"/>
    </row>
    <row r="524">
      <c r="A524" s="66"/>
    </row>
    <row r="525">
      <c r="A525" s="66"/>
    </row>
    <row r="526">
      <c r="A526" s="65"/>
    </row>
    <row r="527">
      <c r="A527" s="66"/>
    </row>
    <row r="528">
      <c r="A528" s="66"/>
    </row>
    <row r="529">
      <c r="A529" s="66"/>
    </row>
    <row r="530">
      <c r="A530" s="66"/>
    </row>
    <row r="531">
      <c r="A531" s="66"/>
    </row>
    <row r="532">
      <c r="A532" s="66"/>
    </row>
    <row r="533">
      <c r="A533" s="66"/>
    </row>
    <row r="534">
      <c r="A534" s="66"/>
    </row>
    <row r="535">
      <c r="A535" s="66"/>
    </row>
    <row r="536">
      <c r="A536" s="66"/>
    </row>
    <row r="537">
      <c r="A537" s="66"/>
    </row>
    <row r="538">
      <c r="A538" s="66"/>
    </row>
    <row r="539">
      <c r="A539" s="66"/>
    </row>
    <row r="540">
      <c r="A540" s="66"/>
    </row>
    <row r="541">
      <c r="A541" s="66"/>
    </row>
    <row r="542">
      <c r="A542" s="66"/>
    </row>
    <row r="543">
      <c r="A543" s="66"/>
    </row>
    <row r="544">
      <c r="A544" s="66"/>
    </row>
    <row r="545">
      <c r="A545" s="66"/>
    </row>
    <row r="546">
      <c r="A546" s="66"/>
    </row>
    <row r="547">
      <c r="A547" s="66"/>
    </row>
    <row r="548">
      <c r="A548" s="66"/>
    </row>
    <row r="549">
      <c r="A549" s="66"/>
    </row>
    <row r="550">
      <c r="A550" s="66"/>
    </row>
    <row r="551">
      <c r="A551" s="66"/>
    </row>
    <row r="552">
      <c r="A552" s="66"/>
    </row>
    <row r="553">
      <c r="A553" s="66"/>
    </row>
    <row r="554">
      <c r="A554" s="66"/>
    </row>
    <row r="555">
      <c r="A555" s="66"/>
    </row>
    <row r="556">
      <c r="A556" s="66"/>
    </row>
    <row r="557">
      <c r="A557" s="66"/>
    </row>
    <row r="558">
      <c r="A558" s="66"/>
    </row>
    <row r="559">
      <c r="A559" s="66"/>
    </row>
    <row r="560">
      <c r="A560" s="66"/>
    </row>
    <row r="561">
      <c r="A561" s="65"/>
    </row>
    <row r="562">
      <c r="A562" s="66"/>
    </row>
    <row r="563">
      <c r="A563" s="66"/>
    </row>
    <row r="564">
      <c r="A564" s="66"/>
    </row>
    <row r="565">
      <c r="A565" s="66"/>
    </row>
    <row r="566">
      <c r="A566" s="66"/>
    </row>
    <row r="567">
      <c r="A567" s="66"/>
    </row>
    <row r="568">
      <c r="A568" s="66"/>
    </row>
    <row r="569">
      <c r="A569" s="66"/>
    </row>
    <row r="570">
      <c r="A570" s="66"/>
    </row>
    <row r="571">
      <c r="A571" s="66"/>
    </row>
    <row r="572">
      <c r="A572" s="66"/>
    </row>
    <row r="573">
      <c r="A573" s="66"/>
    </row>
    <row r="574">
      <c r="A574" s="66"/>
    </row>
    <row r="575">
      <c r="A575" s="66"/>
    </row>
    <row r="576">
      <c r="A576" s="66"/>
    </row>
    <row r="577">
      <c r="A577" s="66"/>
    </row>
    <row r="578">
      <c r="A578" s="66"/>
    </row>
    <row r="579">
      <c r="A579" s="66"/>
    </row>
    <row r="580">
      <c r="A580" s="66"/>
    </row>
    <row r="581">
      <c r="A581" s="66"/>
    </row>
    <row r="582">
      <c r="A582" s="66"/>
    </row>
    <row r="583">
      <c r="A583" s="66"/>
    </row>
    <row r="584">
      <c r="A584" s="66"/>
    </row>
    <row r="585">
      <c r="A585" s="66"/>
    </row>
    <row r="586">
      <c r="A586" s="66"/>
    </row>
    <row r="587">
      <c r="A587" s="66"/>
    </row>
    <row r="588">
      <c r="A588" s="66"/>
    </row>
    <row r="589">
      <c r="A589" s="66"/>
    </row>
    <row r="590">
      <c r="A590" s="66"/>
    </row>
    <row r="591">
      <c r="A591" s="66"/>
    </row>
    <row r="592">
      <c r="A592" s="66"/>
    </row>
    <row r="593">
      <c r="A593" s="66"/>
    </row>
    <row r="594">
      <c r="A594" s="66"/>
    </row>
    <row r="595">
      <c r="A595" s="66"/>
    </row>
    <row r="596">
      <c r="A596" s="65"/>
    </row>
    <row r="597">
      <c r="A597" s="66"/>
    </row>
    <row r="598">
      <c r="A598" s="66"/>
    </row>
    <row r="599">
      <c r="A599" s="66"/>
    </row>
    <row r="600">
      <c r="A600" s="66"/>
    </row>
    <row r="601">
      <c r="A601" s="66"/>
    </row>
    <row r="602">
      <c r="A602" s="66"/>
    </row>
    <row r="603">
      <c r="A603" s="66"/>
    </row>
    <row r="604">
      <c r="A604" s="66"/>
    </row>
    <row r="605">
      <c r="A605" s="66"/>
    </row>
    <row r="606">
      <c r="A606" s="66"/>
    </row>
    <row r="607">
      <c r="A607" s="66"/>
    </row>
    <row r="608">
      <c r="A608" s="66"/>
    </row>
    <row r="609">
      <c r="A609" s="66"/>
    </row>
    <row r="610">
      <c r="A610" s="66"/>
    </row>
    <row r="611">
      <c r="A611" s="66"/>
    </row>
    <row r="612">
      <c r="A612" s="66"/>
    </row>
    <row r="613">
      <c r="A613" s="66"/>
    </row>
    <row r="614">
      <c r="A614" s="66"/>
    </row>
    <row r="615">
      <c r="A615" s="66"/>
    </row>
    <row r="616">
      <c r="A616" s="66"/>
    </row>
    <row r="617">
      <c r="A617" s="66"/>
    </row>
    <row r="618">
      <c r="A618" s="66"/>
    </row>
    <row r="619">
      <c r="A619" s="66"/>
    </row>
    <row r="620">
      <c r="A620" s="66"/>
    </row>
    <row r="621">
      <c r="A621" s="66"/>
    </row>
    <row r="622">
      <c r="A622" s="66"/>
    </row>
    <row r="623">
      <c r="A623" s="66"/>
    </row>
    <row r="624">
      <c r="A624" s="66"/>
    </row>
    <row r="625">
      <c r="A625" s="66"/>
    </row>
    <row r="626">
      <c r="A626" s="66"/>
    </row>
    <row r="627">
      <c r="A627" s="66"/>
    </row>
    <row r="628">
      <c r="A628" s="66"/>
    </row>
    <row r="629">
      <c r="A629" s="66"/>
    </row>
    <row r="630">
      <c r="A630" s="66"/>
    </row>
    <row r="631">
      <c r="A631" s="65"/>
    </row>
    <row r="632">
      <c r="A632" s="66"/>
    </row>
    <row r="633">
      <c r="A633" s="66"/>
    </row>
    <row r="634">
      <c r="A634" s="66"/>
    </row>
    <row r="635">
      <c r="A635" s="66"/>
    </row>
    <row r="636">
      <c r="A636" s="66"/>
    </row>
    <row r="637">
      <c r="A637" s="66"/>
    </row>
    <row r="638">
      <c r="A638" s="66"/>
    </row>
    <row r="639">
      <c r="A639" s="66"/>
    </row>
    <row r="640">
      <c r="A640" s="66"/>
    </row>
    <row r="641">
      <c r="A641" s="66"/>
    </row>
    <row r="642">
      <c r="A642" s="66"/>
    </row>
    <row r="643">
      <c r="A643" s="66"/>
    </row>
    <row r="644">
      <c r="A644" s="66"/>
    </row>
    <row r="645">
      <c r="A645" s="66"/>
    </row>
    <row r="646">
      <c r="A646" s="66"/>
    </row>
    <row r="647">
      <c r="A647" s="66"/>
    </row>
    <row r="648">
      <c r="A648" s="66"/>
    </row>
    <row r="649">
      <c r="A649" s="66"/>
    </row>
    <row r="650">
      <c r="A650" s="66"/>
    </row>
    <row r="651">
      <c r="A651" s="66"/>
    </row>
    <row r="652">
      <c r="A652" s="66"/>
    </row>
    <row r="653">
      <c r="A653" s="66"/>
    </row>
    <row r="654">
      <c r="A654" s="66"/>
    </row>
    <row r="655">
      <c r="A655" s="66"/>
    </row>
    <row r="656">
      <c r="A656" s="66"/>
    </row>
    <row r="657">
      <c r="A657" s="66"/>
    </row>
    <row r="658">
      <c r="A658" s="66"/>
    </row>
    <row r="659">
      <c r="A659" s="66"/>
    </row>
    <row r="660">
      <c r="A660" s="66"/>
    </row>
    <row r="661">
      <c r="A661" s="66"/>
    </row>
    <row r="662">
      <c r="A662" s="66"/>
    </row>
    <row r="663">
      <c r="A663" s="66"/>
    </row>
    <row r="664">
      <c r="A664" s="66"/>
    </row>
    <row r="665">
      <c r="A665" s="66"/>
    </row>
    <row r="666">
      <c r="A666" s="65"/>
    </row>
    <row r="667">
      <c r="A667" s="66"/>
    </row>
    <row r="668">
      <c r="A668" s="66"/>
    </row>
    <row r="669">
      <c r="A669" s="66"/>
    </row>
    <row r="670">
      <c r="A670" s="66"/>
    </row>
    <row r="671">
      <c r="A671" s="66"/>
    </row>
    <row r="672">
      <c r="A672" s="66"/>
    </row>
    <row r="673">
      <c r="A673" s="66"/>
    </row>
    <row r="674">
      <c r="A674" s="66"/>
    </row>
    <row r="675">
      <c r="A675" s="66"/>
    </row>
    <row r="676">
      <c r="A676" s="66"/>
    </row>
    <row r="677">
      <c r="A677" s="66"/>
    </row>
    <row r="678">
      <c r="A678" s="66"/>
    </row>
    <row r="679">
      <c r="A679" s="66"/>
    </row>
    <row r="680">
      <c r="A680" s="66"/>
    </row>
    <row r="681">
      <c r="A681" s="66"/>
    </row>
    <row r="682">
      <c r="A682" s="66"/>
    </row>
    <row r="683">
      <c r="A683" s="66"/>
    </row>
    <row r="684">
      <c r="A684" s="66"/>
    </row>
    <row r="685">
      <c r="A685" s="66"/>
    </row>
    <row r="686">
      <c r="A686" s="66"/>
    </row>
    <row r="687">
      <c r="A687" s="66"/>
    </row>
    <row r="688">
      <c r="A688" s="66"/>
    </row>
    <row r="689">
      <c r="A689" s="66"/>
    </row>
    <row r="690">
      <c r="A690" s="66"/>
    </row>
    <row r="691">
      <c r="A691" s="66"/>
    </row>
    <row r="692">
      <c r="A692" s="66"/>
    </row>
    <row r="693">
      <c r="A693" s="66"/>
    </row>
    <row r="694">
      <c r="A694" s="66"/>
    </row>
    <row r="695">
      <c r="A695" s="66"/>
    </row>
    <row r="696">
      <c r="A696" s="66"/>
    </row>
    <row r="697">
      <c r="A697" s="66"/>
    </row>
    <row r="698">
      <c r="A698" s="66"/>
    </row>
    <row r="699">
      <c r="A699" s="66"/>
    </row>
    <row r="700">
      <c r="A700" s="66"/>
    </row>
    <row r="701">
      <c r="A701" s="65"/>
    </row>
    <row r="702">
      <c r="A702" s="66"/>
    </row>
    <row r="703">
      <c r="A703" s="66"/>
    </row>
    <row r="704">
      <c r="A704" s="66"/>
    </row>
    <row r="705">
      <c r="A705" s="66"/>
    </row>
    <row r="706">
      <c r="A706" s="66"/>
    </row>
    <row r="707">
      <c r="A707" s="66"/>
    </row>
    <row r="708">
      <c r="A708" s="66"/>
    </row>
    <row r="709">
      <c r="A709" s="66"/>
    </row>
    <row r="710">
      <c r="A710" s="66"/>
    </row>
    <row r="711">
      <c r="A711" s="66"/>
    </row>
    <row r="712">
      <c r="A712" s="66"/>
    </row>
    <row r="713">
      <c r="A713" s="66"/>
    </row>
    <row r="714">
      <c r="A714" s="66"/>
    </row>
    <row r="715">
      <c r="A715" s="66"/>
    </row>
    <row r="716">
      <c r="A716" s="66"/>
    </row>
    <row r="717">
      <c r="A717" s="66"/>
    </row>
    <row r="718">
      <c r="A718" s="66"/>
    </row>
    <row r="719">
      <c r="A719" s="66"/>
    </row>
    <row r="720">
      <c r="A720" s="66"/>
    </row>
    <row r="721">
      <c r="A721" s="66"/>
    </row>
    <row r="722">
      <c r="A722" s="66"/>
    </row>
    <row r="723">
      <c r="A723" s="66"/>
    </row>
    <row r="724">
      <c r="A724" s="66"/>
    </row>
    <row r="725">
      <c r="A725" s="66"/>
    </row>
    <row r="726">
      <c r="A726" s="66"/>
    </row>
    <row r="727">
      <c r="A727" s="66"/>
    </row>
    <row r="728">
      <c r="A728" s="66"/>
    </row>
    <row r="729">
      <c r="A729" s="66"/>
    </row>
    <row r="730">
      <c r="A730" s="66"/>
    </row>
    <row r="731">
      <c r="A731" s="66"/>
    </row>
    <row r="732">
      <c r="A732" s="66"/>
    </row>
    <row r="733">
      <c r="A733" s="66"/>
    </row>
    <row r="734">
      <c r="A734" s="66"/>
    </row>
    <row r="735">
      <c r="A735" s="66"/>
    </row>
    <row r="736">
      <c r="A736" s="65"/>
    </row>
    <row r="737">
      <c r="A737" s="66"/>
    </row>
    <row r="738">
      <c r="A738" s="66"/>
    </row>
    <row r="739">
      <c r="A739" s="66"/>
    </row>
    <row r="740">
      <c r="A740" s="66"/>
    </row>
    <row r="741">
      <c r="A741" s="66"/>
    </row>
    <row r="742">
      <c r="A742" s="66"/>
    </row>
    <row r="743">
      <c r="A743" s="66"/>
    </row>
    <row r="744">
      <c r="A744" s="66"/>
    </row>
    <row r="745">
      <c r="A745" s="66"/>
    </row>
    <row r="746">
      <c r="A746" s="66"/>
    </row>
    <row r="747">
      <c r="A747" s="66"/>
    </row>
    <row r="748">
      <c r="A748" s="66"/>
    </row>
    <row r="749">
      <c r="A749" s="66"/>
    </row>
    <row r="750">
      <c r="A750" s="66"/>
    </row>
    <row r="751">
      <c r="A751" s="66"/>
    </row>
    <row r="752">
      <c r="A752" s="66"/>
    </row>
    <row r="753">
      <c r="A753" s="66"/>
    </row>
    <row r="754">
      <c r="A754" s="66"/>
    </row>
    <row r="755">
      <c r="A755" s="66"/>
    </row>
    <row r="756">
      <c r="A756" s="66"/>
    </row>
    <row r="757">
      <c r="A757" s="66"/>
    </row>
    <row r="758">
      <c r="A758" s="66"/>
    </row>
    <row r="759">
      <c r="A759" s="66"/>
    </row>
    <row r="760">
      <c r="A760" s="66"/>
    </row>
    <row r="761">
      <c r="A761" s="66"/>
    </row>
    <row r="762">
      <c r="A762" s="66"/>
    </row>
    <row r="763">
      <c r="A763" s="66"/>
    </row>
    <row r="764">
      <c r="A764" s="66"/>
    </row>
    <row r="765">
      <c r="A765" s="66"/>
    </row>
    <row r="766">
      <c r="A766" s="66"/>
    </row>
    <row r="767">
      <c r="A767" s="66"/>
    </row>
    <row r="768">
      <c r="A768" s="66"/>
    </row>
    <row r="769">
      <c r="A769" s="66"/>
    </row>
    <row r="770">
      <c r="A770" s="66"/>
    </row>
    <row r="771">
      <c r="A771" s="65"/>
    </row>
    <row r="772">
      <c r="A772" s="66"/>
    </row>
    <row r="773">
      <c r="A773" s="66"/>
    </row>
    <row r="774">
      <c r="A774" s="66"/>
    </row>
    <row r="775">
      <c r="A775" s="66"/>
    </row>
    <row r="776">
      <c r="A776" s="66"/>
    </row>
    <row r="777">
      <c r="A777" s="66"/>
    </row>
    <row r="778">
      <c r="A778" s="66"/>
    </row>
    <row r="779">
      <c r="A779" s="66"/>
    </row>
    <row r="780">
      <c r="A780" s="66"/>
    </row>
    <row r="781">
      <c r="A781" s="66"/>
    </row>
    <row r="782">
      <c r="A782" s="66"/>
    </row>
    <row r="783">
      <c r="A783" s="66"/>
    </row>
    <row r="784">
      <c r="A784" s="66"/>
    </row>
    <row r="785">
      <c r="A785" s="66"/>
    </row>
    <row r="786">
      <c r="A786" s="66"/>
    </row>
    <row r="787">
      <c r="A787" s="66"/>
    </row>
    <row r="788">
      <c r="A788" s="66"/>
    </row>
    <row r="789">
      <c r="A789" s="66"/>
    </row>
    <row r="790">
      <c r="A790" s="66"/>
    </row>
    <row r="791">
      <c r="A791" s="66"/>
    </row>
    <row r="792">
      <c r="A792" s="66"/>
    </row>
    <row r="793">
      <c r="A793" s="66"/>
    </row>
    <row r="794">
      <c r="A794" s="66"/>
    </row>
    <row r="795">
      <c r="A795" s="66"/>
    </row>
    <row r="796">
      <c r="A796" s="66"/>
    </row>
    <row r="797">
      <c r="A797" s="66"/>
    </row>
    <row r="798">
      <c r="A798" s="66"/>
    </row>
    <row r="799">
      <c r="A799" s="66"/>
    </row>
    <row r="800">
      <c r="A800" s="66"/>
    </row>
    <row r="801">
      <c r="A801" s="66"/>
    </row>
    <row r="802">
      <c r="A802" s="66"/>
    </row>
    <row r="803">
      <c r="A803" s="66"/>
    </row>
    <row r="804">
      <c r="A804" s="66"/>
    </row>
    <row r="805">
      <c r="A805" s="66"/>
    </row>
    <row r="806">
      <c r="A806" s="65"/>
    </row>
    <row r="807">
      <c r="A807" s="66"/>
    </row>
    <row r="808">
      <c r="A808" s="66"/>
    </row>
    <row r="809">
      <c r="A809" s="66"/>
    </row>
    <row r="810">
      <c r="A810" s="66"/>
    </row>
    <row r="811">
      <c r="A811" s="66"/>
    </row>
    <row r="812">
      <c r="A812" s="66"/>
    </row>
    <row r="813">
      <c r="A813" s="66"/>
    </row>
    <row r="814">
      <c r="A814" s="66"/>
    </row>
    <row r="815">
      <c r="A815" s="66"/>
    </row>
    <row r="816">
      <c r="A816" s="66"/>
    </row>
    <row r="817">
      <c r="A817" s="66"/>
    </row>
    <row r="818">
      <c r="A818" s="66"/>
    </row>
    <row r="819">
      <c r="A819" s="66"/>
    </row>
    <row r="820">
      <c r="A820" s="66"/>
    </row>
    <row r="821">
      <c r="A821" s="66"/>
    </row>
    <row r="822">
      <c r="A822" s="66"/>
    </row>
    <row r="823">
      <c r="A823" s="66"/>
    </row>
    <row r="824">
      <c r="A824" s="66"/>
    </row>
    <row r="825">
      <c r="A825" s="66"/>
    </row>
    <row r="826">
      <c r="A826" s="66"/>
    </row>
    <row r="827">
      <c r="A827" s="66"/>
    </row>
    <row r="828">
      <c r="A828" s="66"/>
    </row>
    <row r="829">
      <c r="A829" s="66"/>
    </row>
    <row r="830">
      <c r="A830" s="66"/>
    </row>
    <row r="831">
      <c r="A831" s="66"/>
    </row>
    <row r="832">
      <c r="A832" s="66"/>
    </row>
    <row r="833">
      <c r="A833" s="66"/>
    </row>
    <row r="834">
      <c r="A834" s="66"/>
    </row>
    <row r="835">
      <c r="A835" s="66"/>
    </row>
    <row r="836">
      <c r="A836" s="66"/>
    </row>
    <row r="837">
      <c r="A837" s="66"/>
    </row>
    <row r="838">
      <c r="A838" s="66"/>
    </row>
    <row r="839">
      <c r="A839" s="66"/>
    </row>
    <row r="840">
      <c r="A840" s="66"/>
    </row>
    <row r="841">
      <c r="A841" s="65"/>
    </row>
    <row r="842">
      <c r="A842" s="66"/>
    </row>
    <row r="843">
      <c r="A843" s="66"/>
    </row>
    <row r="844">
      <c r="A844" s="66"/>
    </row>
    <row r="845">
      <c r="A845" s="66"/>
    </row>
    <row r="846">
      <c r="A846" s="66"/>
    </row>
    <row r="847">
      <c r="A847" s="66"/>
    </row>
    <row r="848">
      <c r="A848" s="66"/>
    </row>
    <row r="849">
      <c r="A849" s="66"/>
    </row>
    <row r="850">
      <c r="A850" s="66"/>
    </row>
    <row r="851">
      <c r="A851" s="66"/>
    </row>
    <row r="852">
      <c r="A852" s="66"/>
    </row>
    <row r="853">
      <c r="A853" s="66"/>
    </row>
    <row r="854">
      <c r="A854" s="66"/>
    </row>
    <row r="855">
      <c r="A855" s="66"/>
    </row>
    <row r="856">
      <c r="A856" s="66"/>
    </row>
    <row r="857">
      <c r="A857" s="66"/>
    </row>
    <row r="858">
      <c r="A858" s="66"/>
    </row>
    <row r="859">
      <c r="A859" s="66"/>
    </row>
    <row r="860">
      <c r="A860" s="66"/>
    </row>
    <row r="861">
      <c r="A861" s="66"/>
    </row>
    <row r="862">
      <c r="A862" s="66"/>
    </row>
    <row r="863">
      <c r="A863" s="66"/>
    </row>
    <row r="864">
      <c r="A864" s="66"/>
    </row>
    <row r="865">
      <c r="A865" s="66"/>
    </row>
    <row r="866">
      <c r="A866" s="66"/>
    </row>
    <row r="867">
      <c r="A867" s="66"/>
    </row>
    <row r="868">
      <c r="A868" s="66"/>
    </row>
    <row r="869">
      <c r="A869" s="66"/>
    </row>
    <row r="870">
      <c r="A870" s="66"/>
    </row>
    <row r="871">
      <c r="A871" s="66"/>
    </row>
    <row r="872">
      <c r="A872" s="66"/>
    </row>
    <row r="873">
      <c r="A873" s="66"/>
    </row>
    <row r="874">
      <c r="A874" s="66"/>
    </row>
    <row r="875">
      <c r="A875" s="66"/>
    </row>
    <row r="876">
      <c r="A876" s="65"/>
    </row>
    <row r="877">
      <c r="A877" s="66"/>
    </row>
    <row r="878">
      <c r="A878" s="66"/>
    </row>
    <row r="879">
      <c r="A879" s="66"/>
    </row>
    <row r="880">
      <c r="A880" s="66"/>
    </row>
    <row r="881">
      <c r="A881" s="66"/>
    </row>
    <row r="882">
      <c r="A882" s="66"/>
    </row>
    <row r="883">
      <c r="A883" s="66"/>
    </row>
    <row r="884">
      <c r="A884" s="66"/>
    </row>
    <row r="885">
      <c r="A885" s="66"/>
    </row>
    <row r="886">
      <c r="A886" s="66"/>
    </row>
    <row r="887">
      <c r="A887" s="66"/>
    </row>
    <row r="888">
      <c r="A888" s="66"/>
    </row>
    <row r="889">
      <c r="A889" s="66"/>
    </row>
    <row r="890">
      <c r="A890" s="66"/>
    </row>
    <row r="891">
      <c r="A891" s="66"/>
    </row>
    <row r="892">
      <c r="A892" s="66"/>
    </row>
    <row r="893">
      <c r="A893" s="66"/>
    </row>
    <row r="894">
      <c r="A894" s="66"/>
    </row>
    <row r="895">
      <c r="A895" s="66"/>
    </row>
    <row r="896">
      <c r="A896" s="66"/>
    </row>
    <row r="897">
      <c r="A897" s="66"/>
    </row>
    <row r="898">
      <c r="A898" s="66"/>
    </row>
    <row r="899">
      <c r="A899" s="66"/>
    </row>
    <row r="900">
      <c r="A900" s="66"/>
    </row>
    <row r="901">
      <c r="A901" s="66"/>
    </row>
    <row r="902">
      <c r="A902" s="66"/>
    </row>
    <row r="903">
      <c r="A903" s="66"/>
    </row>
    <row r="904">
      <c r="A904" s="66"/>
    </row>
    <row r="905">
      <c r="A905" s="66"/>
    </row>
    <row r="906">
      <c r="A906" s="66"/>
    </row>
    <row r="907">
      <c r="A907" s="66"/>
    </row>
    <row r="908">
      <c r="A908" s="66"/>
    </row>
    <row r="909">
      <c r="A909" s="66"/>
    </row>
    <row r="910">
      <c r="A910" s="66"/>
    </row>
    <row r="911">
      <c r="A911" s="65"/>
    </row>
    <row r="912">
      <c r="A912" s="66"/>
    </row>
    <row r="913">
      <c r="A913" s="66"/>
    </row>
    <row r="914">
      <c r="A914" s="66"/>
    </row>
    <row r="915">
      <c r="A915" s="66"/>
    </row>
    <row r="916">
      <c r="A916" s="66"/>
    </row>
    <row r="917">
      <c r="A917" s="66"/>
    </row>
    <row r="918">
      <c r="A918" s="66"/>
    </row>
    <row r="919">
      <c r="A919" s="66"/>
    </row>
    <row r="920">
      <c r="A920" s="66"/>
    </row>
    <row r="921">
      <c r="A921" s="66"/>
    </row>
    <row r="922">
      <c r="A922" s="66"/>
    </row>
    <row r="923">
      <c r="A923" s="66"/>
    </row>
    <row r="924">
      <c r="A924" s="66"/>
    </row>
    <row r="925">
      <c r="A925" s="66"/>
    </row>
    <row r="926">
      <c r="A926" s="66"/>
    </row>
    <row r="927">
      <c r="A927" s="66"/>
    </row>
    <row r="928">
      <c r="A928" s="66"/>
    </row>
    <row r="929">
      <c r="A929" s="66"/>
    </row>
    <row r="930">
      <c r="A930" s="66"/>
    </row>
    <row r="931">
      <c r="A931" s="66"/>
    </row>
    <row r="932">
      <c r="A932" s="66"/>
    </row>
    <row r="933">
      <c r="A933" s="66"/>
    </row>
    <row r="934">
      <c r="A934" s="66"/>
    </row>
    <row r="935">
      <c r="A935" s="66"/>
    </row>
    <row r="936">
      <c r="A936" s="66"/>
    </row>
    <row r="937">
      <c r="A937" s="66"/>
    </row>
    <row r="938">
      <c r="A938" s="66"/>
    </row>
    <row r="939">
      <c r="A939" s="66"/>
    </row>
    <row r="940">
      <c r="A940" s="66"/>
    </row>
    <row r="941">
      <c r="A941" s="66"/>
    </row>
    <row r="942">
      <c r="A942" s="66"/>
    </row>
    <row r="943">
      <c r="A943" s="66"/>
    </row>
    <row r="944">
      <c r="A944" s="66"/>
    </row>
    <row r="945">
      <c r="A945" s="66"/>
    </row>
    <row r="946">
      <c r="A946" s="65"/>
    </row>
    <row r="947">
      <c r="A947" s="66"/>
    </row>
    <row r="948">
      <c r="A948" s="66"/>
    </row>
    <row r="949">
      <c r="A949" s="66"/>
    </row>
    <row r="950">
      <c r="A950" s="66"/>
    </row>
    <row r="951">
      <c r="A951" s="66"/>
    </row>
    <row r="952">
      <c r="A952" s="66"/>
    </row>
    <row r="953">
      <c r="A953" s="66"/>
    </row>
    <row r="954">
      <c r="A954" s="66"/>
    </row>
    <row r="955">
      <c r="A955" s="66"/>
    </row>
    <row r="956">
      <c r="A956" s="66"/>
    </row>
    <row r="957">
      <c r="A957" s="66"/>
    </row>
    <row r="958">
      <c r="A958" s="66"/>
    </row>
    <row r="959">
      <c r="A959" s="66"/>
    </row>
    <row r="960">
      <c r="A960" s="66"/>
    </row>
    <row r="961">
      <c r="A961" s="66"/>
    </row>
    <row r="962">
      <c r="A962" s="66"/>
    </row>
    <row r="963">
      <c r="A963" s="66"/>
    </row>
    <row r="964">
      <c r="A964" s="66"/>
    </row>
    <row r="965">
      <c r="A965" s="66"/>
    </row>
    <row r="966">
      <c r="A966" s="66"/>
    </row>
    <row r="967">
      <c r="A967" s="66"/>
    </row>
    <row r="968">
      <c r="A968" s="66"/>
    </row>
    <row r="969">
      <c r="A969" s="66"/>
    </row>
    <row r="970">
      <c r="A970" s="66"/>
    </row>
    <row r="971">
      <c r="A971" s="66"/>
    </row>
    <row r="972">
      <c r="A972" s="66"/>
    </row>
    <row r="973">
      <c r="A973" s="66"/>
    </row>
    <row r="974">
      <c r="A974" s="66"/>
    </row>
    <row r="975">
      <c r="A975" s="66"/>
    </row>
    <row r="976">
      <c r="A976" s="66"/>
    </row>
    <row r="977">
      <c r="A977" s="66"/>
    </row>
    <row r="978">
      <c r="A978" s="66"/>
    </row>
    <row r="979">
      <c r="A979" s="66"/>
    </row>
    <row r="980">
      <c r="A980" s="66"/>
    </row>
  </sheetData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63"/>
    <col customWidth="1" min="3" max="3" width="15.25"/>
    <col customWidth="1" min="4" max="4" width="19.88"/>
  </cols>
  <sheetData>
    <row r="1" ht="22.5" customHeight="1">
      <c r="A1" s="28" t="s">
        <v>19</v>
      </c>
      <c r="B1" s="28" t="s">
        <v>56</v>
      </c>
      <c r="C1" s="45" t="s">
        <v>59</v>
      </c>
      <c r="D1" s="67" t="s">
        <v>63</v>
      </c>
    </row>
    <row r="2" ht="22.5" customHeight="1">
      <c r="A2" s="31">
        <v>1.0</v>
      </c>
      <c r="B2" s="68">
        <v>16077.0</v>
      </c>
      <c r="C2" s="33" t="s">
        <v>258</v>
      </c>
      <c r="D2" s="69" t="s">
        <v>263</v>
      </c>
    </row>
    <row r="3" ht="22.5" customHeight="1">
      <c r="A3" s="31">
        <v>2.0</v>
      </c>
      <c r="B3" s="63">
        <v>130005.0</v>
      </c>
      <c r="C3" s="33" t="s">
        <v>265</v>
      </c>
      <c r="D3" s="69" t="s">
        <v>267</v>
      </c>
    </row>
    <row r="4" ht="22.5" customHeight="1">
      <c r="A4" s="31">
        <v>3.0</v>
      </c>
      <c r="B4" s="70">
        <v>129014.0</v>
      </c>
      <c r="C4" s="33" t="s">
        <v>273</v>
      </c>
      <c r="D4" s="69" t="s">
        <v>263</v>
      </c>
    </row>
    <row r="5" ht="22.5" customHeight="1">
      <c r="A5" s="31">
        <v>4.0</v>
      </c>
      <c r="B5" s="63">
        <v>128006.0</v>
      </c>
      <c r="C5" s="33" t="s">
        <v>265</v>
      </c>
      <c r="D5" s="69" t="s">
        <v>267</v>
      </c>
    </row>
    <row r="6" ht="22.5" customHeight="1">
      <c r="A6" s="31">
        <v>5.0</v>
      </c>
      <c r="B6" s="63">
        <v>114107.0</v>
      </c>
      <c r="C6" s="33" t="s">
        <v>265</v>
      </c>
      <c r="D6" s="69" t="s">
        <v>267</v>
      </c>
    </row>
    <row r="7" ht="22.5" customHeight="1">
      <c r="A7" s="31">
        <v>6.0</v>
      </c>
      <c r="B7" s="63">
        <v>16082.0</v>
      </c>
      <c r="C7" s="33" t="s">
        <v>265</v>
      </c>
      <c r="D7" s="69" t="s">
        <v>267</v>
      </c>
    </row>
    <row r="8" ht="22.5" customHeight="1">
      <c r="A8" s="31">
        <v>7.0</v>
      </c>
      <c r="B8" s="68">
        <v>16104.0</v>
      </c>
      <c r="C8" s="33" t="s">
        <v>258</v>
      </c>
      <c r="D8" s="69" t="s">
        <v>263</v>
      </c>
    </row>
    <row r="9" ht="22.5" customHeight="1">
      <c r="A9" s="31">
        <v>8.0</v>
      </c>
      <c r="B9" s="71">
        <v>25015.0</v>
      </c>
      <c r="C9" s="33" t="s">
        <v>273</v>
      </c>
      <c r="D9" s="69" t="s">
        <v>263</v>
      </c>
      <c r="F9" s="72"/>
    </row>
    <row r="10" ht="22.5" customHeight="1">
      <c r="A10" s="31">
        <v>9.0</v>
      </c>
      <c r="B10" s="71">
        <v>25006.0</v>
      </c>
      <c r="C10" s="33" t="s">
        <v>273</v>
      </c>
      <c r="D10" s="69" t="s">
        <v>263</v>
      </c>
      <c r="F10" s="72"/>
    </row>
    <row r="11" ht="22.5" customHeight="1">
      <c r="A11" s="31">
        <v>10.0</v>
      </c>
      <c r="B11" s="68">
        <v>98039.0</v>
      </c>
      <c r="C11" s="33" t="s">
        <v>258</v>
      </c>
      <c r="D11" s="69" t="s">
        <v>263</v>
      </c>
      <c r="F11" s="72"/>
    </row>
    <row r="12" ht="22.5" customHeight="1">
      <c r="A12" s="31">
        <v>11.0</v>
      </c>
      <c r="B12" s="68">
        <v>98026.0</v>
      </c>
      <c r="C12" s="33" t="s">
        <v>258</v>
      </c>
      <c r="D12" s="69" t="s">
        <v>263</v>
      </c>
      <c r="F12" s="72"/>
    </row>
    <row r="13" ht="22.5" customHeight="1">
      <c r="A13" s="31">
        <v>12.0</v>
      </c>
      <c r="B13" s="63">
        <v>98012.0</v>
      </c>
      <c r="C13" s="33" t="s">
        <v>265</v>
      </c>
      <c r="D13" s="69" t="s">
        <v>267</v>
      </c>
      <c r="F13" s="72"/>
    </row>
    <row r="14" ht="22.5" customHeight="1">
      <c r="A14" s="31">
        <v>13.0</v>
      </c>
      <c r="B14" s="63">
        <v>161001.0</v>
      </c>
      <c r="C14" s="33" t="s">
        <v>265</v>
      </c>
      <c r="D14" s="69" t="s">
        <v>267</v>
      </c>
      <c r="F14" s="72"/>
    </row>
    <row r="15" ht="22.5" customHeight="1">
      <c r="A15" s="31">
        <v>14.0</v>
      </c>
      <c r="B15" s="73"/>
      <c r="C15" s="33" t="s">
        <v>258</v>
      </c>
      <c r="D15" s="69" t="s">
        <v>263</v>
      </c>
    </row>
    <row r="16" ht="22.5" customHeight="1">
      <c r="A16" s="31">
        <v>15.0</v>
      </c>
      <c r="B16" s="73"/>
      <c r="C16" s="33" t="s">
        <v>258</v>
      </c>
      <c r="D16" s="69" t="s">
        <v>267</v>
      </c>
    </row>
    <row r="17" ht="22.5" customHeight="1">
      <c r="A17" s="31">
        <v>16.0</v>
      </c>
      <c r="B17" s="74"/>
      <c r="C17" s="33" t="s">
        <v>265</v>
      </c>
      <c r="D17" s="69" t="s">
        <v>267</v>
      </c>
    </row>
    <row r="18" ht="22.5" customHeight="1">
      <c r="A18" s="31">
        <v>17.0</v>
      </c>
      <c r="B18" s="73"/>
      <c r="C18" s="33" t="s">
        <v>258</v>
      </c>
      <c r="D18" s="69" t="s">
        <v>263</v>
      </c>
    </row>
    <row r="19" ht="22.5" customHeight="1">
      <c r="A19" s="31">
        <v>18.0</v>
      </c>
      <c r="B19" s="73"/>
      <c r="C19" s="33" t="s">
        <v>258</v>
      </c>
      <c r="D19" s="69" t="s">
        <v>263</v>
      </c>
    </row>
    <row r="20" ht="22.5" customHeight="1">
      <c r="A20" s="31">
        <v>19.0</v>
      </c>
      <c r="B20" s="76"/>
      <c r="C20" s="33" t="s">
        <v>273</v>
      </c>
      <c r="D20" s="69" t="s">
        <v>263</v>
      </c>
    </row>
    <row r="21" ht="22.5" customHeight="1">
      <c r="A21" s="31">
        <v>20.0</v>
      </c>
      <c r="B21" s="63">
        <v>568003.0</v>
      </c>
      <c r="C21" s="33" t="s">
        <v>265</v>
      </c>
      <c r="D21" s="69" t="s">
        <v>267</v>
      </c>
    </row>
    <row r="22" ht="22.5" customHeight="1">
      <c r="A22" s="31">
        <v>21.0</v>
      </c>
      <c r="B22" s="68">
        <v>568020.0</v>
      </c>
      <c r="C22" s="33" t="s">
        <v>258</v>
      </c>
      <c r="D22" s="69" t="s">
        <v>263</v>
      </c>
    </row>
    <row r="23" ht="22.5" customHeight="1">
      <c r="A23" s="31">
        <v>22.0</v>
      </c>
      <c r="B23" s="68">
        <v>568027.0</v>
      </c>
      <c r="C23" s="33" t="s">
        <v>258</v>
      </c>
      <c r="D23" s="69" t="s">
        <v>263</v>
      </c>
    </row>
    <row r="24" ht="22.5" customHeight="1">
      <c r="A24" s="31">
        <v>23.0</v>
      </c>
      <c r="B24" s="71">
        <v>100028.0</v>
      </c>
      <c r="C24" s="33" t="s">
        <v>273</v>
      </c>
      <c r="D24" s="69" t="s">
        <v>263</v>
      </c>
    </row>
    <row r="25" ht="22.5" customHeight="1">
      <c r="A25" s="31">
        <v>24.0</v>
      </c>
      <c r="B25" s="71">
        <v>100021.0</v>
      </c>
      <c r="C25" s="33" t="s">
        <v>273</v>
      </c>
      <c r="D25" s="69" t="s">
        <v>263</v>
      </c>
    </row>
    <row r="26" ht="22.5" customHeight="1">
      <c r="A26" s="31">
        <v>25.0</v>
      </c>
      <c r="B26" s="71">
        <v>114029.0</v>
      </c>
      <c r="C26" s="63" t="s">
        <v>273</v>
      </c>
      <c r="D26" s="69" t="s">
        <v>263</v>
      </c>
    </row>
    <row r="27" ht="22.5" customHeight="1">
      <c r="A27" s="31">
        <v>26.0</v>
      </c>
      <c r="B27" s="71">
        <v>127008.0</v>
      </c>
      <c r="C27" s="33" t="s">
        <v>273</v>
      </c>
      <c r="D27" s="69" t="s">
        <v>263</v>
      </c>
    </row>
    <row r="28" ht="22.5" customHeight="1">
      <c r="A28" s="31">
        <v>27.0</v>
      </c>
      <c r="B28" s="68">
        <v>162028.0</v>
      </c>
      <c r="C28" s="33" t="s">
        <v>258</v>
      </c>
      <c r="D28" s="69" t="s">
        <v>263</v>
      </c>
    </row>
    <row r="29" ht="22.5" customHeight="1">
      <c r="A29" s="31">
        <v>28.0</v>
      </c>
      <c r="B29" s="63">
        <v>162027.0</v>
      </c>
      <c r="C29" s="63" t="s">
        <v>265</v>
      </c>
      <c r="D29" s="87" t="s">
        <v>267</v>
      </c>
    </row>
    <row r="30" ht="22.5" customHeight="1">
      <c r="A30" s="31">
        <v>29.0</v>
      </c>
      <c r="B30" s="71">
        <v>129054.0</v>
      </c>
      <c r="C30" s="33" t="s">
        <v>273</v>
      </c>
      <c r="D30" s="69" t="s">
        <v>263</v>
      </c>
    </row>
    <row r="31" ht="22.5" customHeight="1">
      <c r="A31" s="31">
        <v>30.0</v>
      </c>
      <c r="B31" s="63">
        <v>129047.0</v>
      </c>
      <c r="C31" s="33" t="s">
        <v>265</v>
      </c>
      <c r="D31" s="69" t="s">
        <v>267</v>
      </c>
    </row>
    <row r="32" ht="22.5" customHeight="1">
      <c r="A32" s="31">
        <v>31.0</v>
      </c>
      <c r="B32" s="71">
        <v>143005.0</v>
      </c>
      <c r="C32" s="33" t="s">
        <v>273</v>
      </c>
      <c r="D32" s="69" t="s">
        <v>263</v>
      </c>
    </row>
    <row r="33" ht="22.5" customHeight="1">
      <c r="A33" s="31">
        <v>32.0</v>
      </c>
      <c r="B33" s="63">
        <v>142031.0</v>
      </c>
      <c r="C33" s="33" t="s">
        <v>265</v>
      </c>
      <c r="D33" s="69" t="s">
        <v>267</v>
      </c>
    </row>
    <row r="34" ht="22.5" customHeight="1">
      <c r="A34" s="31">
        <v>33.0</v>
      </c>
      <c r="B34" s="68">
        <v>142041.0</v>
      </c>
      <c r="C34" s="33" t="s">
        <v>258</v>
      </c>
      <c r="D34" s="69" t="s">
        <v>263</v>
      </c>
    </row>
    <row r="35" ht="22.5" customHeight="1">
      <c r="A35" s="31">
        <v>34.0</v>
      </c>
      <c r="B35" s="71">
        <v>69033.0</v>
      </c>
      <c r="C35" s="33" t="s">
        <v>273</v>
      </c>
      <c r="D35" s="69" t="s">
        <v>263</v>
      </c>
    </row>
  </sheetData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8.88"/>
    <col customWidth="1" min="4" max="4" width="24.75"/>
    <col customWidth="1" min="5" max="5" width="26.25"/>
    <col customWidth="1" min="6" max="6" width="29.5"/>
  </cols>
  <sheetData>
    <row r="1" ht="22.5" customHeight="1">
      <c r="A1" s="75" t="s">
        <v>19</v>
      </c>
      <c r="B1" s="75" t="s">
        <v>320</v>
      </c>
      <c r="C1" s="75" t="s">
        <v>65</v>
      </c>
      <c r="D1" s="75" t="s">
        <v>69</v>
      </c>
      <c r="E1" s="75" t="s">
        <v>75</v>
      </c>
      <c r="F1" s="75" t="s">
        <v>80</v>
      </c>
      <c r="G1" s="75" t="s">
        <v>83</v>
      </c>
    </row>
    <row r="2" ht="22.5" customHeight="1">
      <c r="A2" s="77">
        <v>1.0</v>
      </c>
      <c r="B2" s="77">
        <v>1.0</v>
      </c>
      <c r="C2" s="78">
        <v>894.7234973160355</v>
      </c>
      <c r="D2" s="77">
        <v>1973.9354795563606</v>
      </c>
      <c r="E2" s="77">
        <v>597.1428587266378</v>
      </c>
      <c r="F2" s="80">
        <v>96.32320701212916</v>
      </c>
      <c r="G2" s="77">
        <v>5.93</v>
      </c>
    </row>
    <row r="3" ht="22.5" customHeight="1">
      <c r="A3" s="77">
        <v>1.0</v>
      </c>
      <c r="B3" s="77">
        <v>2.0</v>
      </c>
      <c r="C3" s="78">
        <v>838.5944488191386</v>
      </c>
      <c r="D3" s="77">
        <v>1574.7742099685056</v>
      </c>
      <c r="E3" s="77">
        <v>509.6190380595979</v>
      </c>
      <c r="F3" s="80">
        <v>101.3816105103956</v>
      </c>
      <c r="G3" s="77">
        <v>6.03</v>
      </c>
    </row>
    <row r="4" ht="22.5" customHeight="1">
      <c r="A4" s="77">
        <v>1.0</v>
      </c>
      <c r="B4" s="77">
        <v>3.0</v>
      </c>
      <c r="C4" s="78">
        <v>897.2350227997601</v>
      </c>
      <c r="D4" s="77">
        <v>1797.3547966787892</v>
      </c>
      <c r="E4" s="77">
        <v>616.9047590210324</v>
      </c>
      <c r="F4" s="80">
        <v>119.7943575908401</v>
      </c>
      <c r="G4" s="77">
        <v>5.96</v>
      </c>
    </row>
    <row r="5" ht="22.5" customHeight="1">
      <c r="A5" s="77">
        <v>2.0</v>
      </c>
      <c r="B5" s="77">
        <v>1.0</v>
      </c>
      <c r="C5" s="78">
        <v>815.6912576273292</v>
      </c>
      <c r="D5" s="77">
        <v>1965.5484090466655</v>
      </c>
      <c r="E5" s="77">
        <v>507.4761872178032</v>
      </c>
      <c r="F5" s="80">
        <v>161.24218864984414</v>
      </c>
      <c r="G5" s="77">
        <v>5.7</v>
      </c>
    </row>
    <row r="6" ht="22.5" customHeight="1">
      <c r="A6" s="77">
        <v>2.0</v>
      </c>
      <c r="B6" s="77">
        <v>2.0</v>
      </c>
      <c r="C6" s="78">
        <v>862.672792277578</v>
      </c>
      <c r="D6" s="77">
        <v>1865.806457934841</v>
      </c>
      <c r="E6" s="77">
        <v>507.4761872178032</v>
      </c>
      <c r="F6" s="80">
        <v>153.68436771825438</v>
      </c>
      <c r="G6" s="77">
        <v>5.79</v>
      </c>
    </row>
    <row r="7" ht="22.5" customHeight="1">
      <c r="A7" s="77">
        <v>2.0</v>
      </c>
      <c r="B7" s="77">
        <v>3.0</v>
      </c>
      <c r="C7" s="78">
        <v>912.1428620485667</v>
      </c>
      <c r="D7" s="77">
        <v>1980.5806235497998</v>
      </c>
      <c r="E7" s="77">
        <v>550.1428523631323</v>
      </c>
      <c r="F7" s="80">
        <v>167.54498349351843</v>
      </c>
      <c r="G7" s="77">
        <v>5.67</v>
      </c>
    </row>
    <row r="8" ht="22.5" customHeight="1">
      <c r="A8" s="77">
        <v>3.0</v>
      </c>
      <c r="B8" s="77">
        <v>1.0</v>
      </c>
      <c r="C8" s="78">
        <v>793.502312739324</v>
      </c>
      <c r="D8" s="77">
        <v>1958.3225475741972</v>
      </c>
      <c r="E8" s="77">
        <v>463.9285728534063</v>
      </c>
      <c r="F8" s="80">
        <v>76.83836498132243</v>
      </c>
      <c r="G8" s="77">
        <v>4.73</v>
      </c>
    </row>
    <row r="9" ht="22.5" customHeight="1">
      <c r="A9" s="77">
        <v>3.0</v>
      </c>
      <c r="B9" s="77">
        <v>2.0</v>
      </c>
      <c r="C9" s="78">
        <v>681.9815828833164</v>
      </c>
      <c r="D9" s="77">
        <v>1541.4193209678897</v>
      </c>
      <c r="E9" s="77">
        <v>423.28572665509716</v>
      </c>
      <c r="F9" s="80">
        <v>86.17024518758353</v>
      </c>
      <c r="G9" s="77">
        <v>4.58</v>
      </c>
    </row>
    <row r="10" ht="22.5" customHeight="1">
      <c r="A10" s="77">
        <v>3.0</v>
      </c>
      <c r="B10" s="77">
        <v>3.0</v>
      </c>
      <c r="C10" s="78">
        <v>666.0368734570693</v>
      </c>
      <c r="D10" s="77">
        <v>1702.2580710687948</v>
      </c>
      <c r="E10" s="77">
        <v>355.2857108967645</v>
      </c>
      <c r="F10" s="80">
        <v>85.26619666572209</v>
      </c>
      <c r="G10" s="77">
        <v>4.74</v>
      </c>
    </row>
    <row r="11" ht="22.5" customHeight="1">
      <c r="A11" s="77">
        <v>4.0</v>
      </c>
      <c r="B11" s="77">
        <v>1.0</v>
      </c>
      <c r="C11" s="78">
        <v>629.8156767451819</v>
      </c>
      <c r="D11" s="77">
        <v>887.0322602948835</v>
      </c>
      <c r="E11" s="77">
        <v>342.02379806268783</v>
      </c>
      <c r="F11" s="80">
        <v>110.21785675277538</v>
      </c>
      <c r="G11" s="77">
        <v>6.17</v>
      </c>
    </row>
    <row r="12" ht="22.5" customHeight="1">
      <c r="A12" s="77">
        <v>4.0</v>
      </c>
      <c r="B12" s="77">
        <v>2.0</v>
      </c>
      <c r="C12" s="78">
        <v>636.8894021686871</v>
      </c>
      <c r="D12" s="77">
        <v>661.0967780851548</v>
      </c>
      <c r="E12" s="77">
        <v>339.04761752060483</v>
      </c>
      <c r="F12" s="80">
        <v>130.9960145089286</v>
      </c>
      <c r="G12" s="77">
        <v>6.84</v>
      </c>
    </row>
    <row r="13" ht="22.5" customHeight="1">
      <c r="A13" s="77">
        <v>4.0</v>
      </c>
      <c r="B13" s="77">
        <v>3.0</v>
      </c>
      <c r="C13" s="78">
        <v>733.8018301500153</v>
      </c>
      <c r="D13" s="77">
        <v>816.7742081765205</v>
      </c>
      <c r="E13" s="77">
        <v>383.88096117405667</v>
      </c>
      <c r="F13" s="80">
        <v>96.56783017971235</v>
      </c>
      <c r="G13" s="77">
        <v>6.46</v>
      </c>
    </row>
    <row r="14" ht="22.5" customHeight="1">
      <c r="A14" s="77">
        <v>5.0</v>
      </c>
      <c r="B14" s="77">
        <v>1.0</v>
      </c>
      <c r="C14" s="78">
        <v>457.58478782624434</v>
      </c>
      <c r="D14" s="77">
        <v>1637.4838337359893</v>
      </c>
      <c r="E14" s="77">
        <v>395.1744812629561</v>
      </c>
      <c r="F14" s="80">
        <v>73.89411152384999</v>
      </c>
      <c r="G14" s="77">
        <v>5.57</v>
      </c>
    </row>
    <row r="15" ht="22.5" customHeight="1">
      <c r="A15" s="77">
        <v>5.0</v>
      </c>
      <c r="B15" s="77">
        <v>2.0</v>
      </c>
      <c r="C15" s="78">
        <v>354.53265749967665</v>
      </c>
      <c r="D15" s="77">
        <v>1777.7419075427517</v>
      </c>
      <c r="E15" s="77">
        <v>325.5750980278258</v>
      </c>
      <c r="F15" s="80">
        <v>77.82970969834892</v>
      </c>
      <c r="G15" s="77">
        <v>5.58</v>
      </c>
    </row>
    <row r="16" ht="22.5" customHeight="1">
      <c r="A16" s="77">
        <v>5.0</v>
      </c>
      <c r="B16" s="77">
        <v>3.0</v>
      </c>
      <c r="C16" s="78">
        <v>411.7520796264851</v>
      </c>
      <c r="D16" s="77">
        <v>1530.7742150137503</v>
      </c>
      <c r="E16" s="77">
        <v>323.8474268665027</v>
      </c>
      <c r="F16" s="80">
        <v>79.1686358535483</v>
      </c>
      <c r="G16" s="77">
        <v>5.69</v>
      </c>
    </row>
    <row r="17" ht="22.5" customHeight="1">
      <c r="A17" s="77">
        <v>6.0</v>
      </c>
      <c r="B17" s="77">
        <v>1.0</v>
      </c>
      <c r="C17" s="78">
        <v>575.3972763468481</v>
      </c>
      <c r="D17" s="77">
        <v>627.2258089973081</v>
      </c>
      <c r="E17" s="77">
        <v>351.2224057510622</v>
      </c>
      <c r="F17" s="80">
        <v>133.16552699370044</v>
      </c>
      <c r="G17" s="77">
        <v>6.72</v>
      </c>
    </row>
    <row r="18" ht="22.5" customHeight="1">
      <c r="A18" s="77">
        <v>6.0</v>
      </c>
      <c r="B18" s="77">
        <v>2.0</v>
      </c>
      <c r="C18" s="78">
        <v>613.0205000646511</v>
      </c>
      <c r="D18" s="77">
        <v>721.0967795079754</v>
      </c>
      <c r="E18" s="77">
        <v>387.37468517392824</v>
      </c>
      <c r="F18" s="80">
        <v>145.18033218570386</v>
      </c>
      <c r="G18" s="77">
        <v>7.04</v>
      </c>
    </row>
    <row r="19" ht="22.5" customHeight="1">
      <c r="A19" s="77">
        <v>6.0</v>
      </c>
      <c r="B19" s="77">
        <v>3.0</v>
      </c>
      <c r="C19" s="78">
        <v>678.8445558588055</v>
      </c>
      <c r="D19" s="77">
        <v>773.4838593929044</v>
      </c>
      <c r="E19" s="77">
        <v>398.6343682495041</v>
      </c>
      <c r="F19" s="80">
        <v>150.1557840844838</v>
      </c>
      <c r="G19" s="77">
        <v>6.98</v>
      </c>
    </row>
    <row r="20" ht="22.5" customHeight="1">
      <c r="A20" s="77">
        <v>7.0</v>
      </c>
      <c r="B20" s="77">
        <v>1.0</v>
      </c>
      <c r="C20" s="78">
        <v>566.6830048366107</v>
      </c>
      <c r="D20" s="77">
        <v>1208.6451567526788</v>
      </c>
      <c r="E20" s="77">
        <v>311.12109769812827</v>
      </c>
      <c r="F20" s="80">
        <v>91.50501345839082</v>
      </c>
      <c r="G20" s="77">
        <v>5.7</v>
      </c>
    </row>
    <row r="21" ht="22.5" customHeight="1">
      <c r="A21" s="77">
        <v>7.0</v>
      </c>
      <c r="B21" s="77">
        <v>2.0</v>
      </c>
      <c r="C21" s="78">
        <v>545.3802993023048</v>
      </c>
      <c r="D21" s="77">
        <v>1215.3548323877394</v>
      </c>
      <c r="E21" s="77">
        <v>323.4346631966273</v>
      </c>
      <c r="F21" s="80">
        <v>78.22691528270765</v>
      </c>
      <c r="G21" s="77">
        <v>5.56</v>
      </c>
    </row>
    <row r="22" ht="22.5" customHeight="1">
      <c r="A22" s="77">
        <v>7.0</v>
      </c>
      <c r="B22" s="77">
        <v>3.0</v>
      </c>
      <c r="C22" s="78">
        <v>424.99999469678903</v>
      </c>
      <c r="D22" s="77">
        <v>1003.0967895600103</v>
      </c>
      <c r="E22" s="77">
        <v>251.49531930406772</v>
      </c>
      <c r="F22" s="80">
        <v>84.68130567159734</v>
      </c>
      <c r="G22" s="77">
        <v>5.82</v>
      </c>
    </row>
    <row r="23" ht="22.5" customHeight="1">
      <c r="A23" s="77">
        <v>8.0</v>
      </c>
      <c r="B23" s="77">
        <v>1.0</v>
      </c>
      <c r="C23" s="78">
        <v>407.2154866529914</v>
      </c>
      <c r="D23" s="77">
        <v>1169.5483744682804</v>
      </c>
      <c r="E23" s="77">
        <v>320.4484305312169</v>
      </c>
      <c r="F23" s="80">
        <v>37.86376639971124</v>
      </c>
      <c r="G23" s="77">
        <v>5.78</v>
      </c>
    </row>
    <row r="24" ht="22.5" customHeight="1">
      <c r="A24" s="77">
        <v>8.0</v>
      </c>
      <c r="B24" s="77">
        <v>2.0</v>
      </c>
      <c r="C24" s="78">
        <v>433.0703101338216</v>
      </c>
      <c r="D24" s="77">
        <v>1064.580614966731</v>
      </c>
      <c r="E24" s="77">
        <v>313.78783276714466</v>
      </c>
      <c r="F24" s="80">
        <v>46.65828491611884</v>
      </c>
      <c r="G24" s="77">
        <v>5.99</v>
      </c>
    </row>
    <row r="25" ht="22.5" customHeight="1">
      <c r="A25" s="77">
        <v>8.0</v>
      </c>
      <c r="B25" s="77">
        <v>3.0</v>
      </c>
      <c r="C25" s="78">
        <v>638.0985602078695</v>
      </c>
      <c r="D25" s="77">
        <v>1061.2903232113008</v>
      </c>
      <c r="E25" s="77">
        <v>374.4026232606494</v>
      </c>
      <c r="F25" s="80">
        <v>51.733583653473936</v>
      </c>
      <c r="G25" s="77">
        <v>5.75</v>
      </c>
    </row>
    <row r="26" ht="22.5" customHeight="1">
      <c r="A26" s="77">
        <v>9.0</v>
      </c>
      <c r="B26" s="77">
        <v>1.0</v>
      </c>
      <c r="C26" s="78">
        <v>441.54418548319103</v>
      </c>
      <c r="D26" s="77">
        <v>577.677424353938</v>
      </c>
      <c r="E26" s="77">
        <v>315.3027170694655</v>
      </c>
      <c r="F26" s="80">
        <v>36.388977919666004</v>
      </c>
      <c r="G26" s="77">
        <v>7.05</v>
      </c>
    </row>
    <row r="27" ht="22.5" customHeight="1">
      <c r="A27" s="77">
        <v>9.0</v>
      </c>
      <c r="B27" s="77">
        <v>2.0</v>
      </c>
      <c r="C27" s="78">
        <v>547.5239866796749</v>
      </c>
      <c r="D27" s="77">
        <v>893.2903249955946</v>
      </c>
      <c r="E27" s="77">
        <v>399.4608631953004</v>
      </c>
      <c r="F27" s="80">
        <v>42.29095298255805</v>
      </c>
      <c r="G27" s="77">
        <v>6.15</v>
      </c>
    </row>
    <row r="28" ht="22.5" customHeight="1">
      <c r="A28" s="77">
        <v>9.0</v>
      </c>
      <c r="B28" s="77">
        <v>3.0</v>
      </c>
      <c r="C28" s="78">
        <v>747.9399074989356</v>
      </c>
      <c r="D28" s="77">
        <v>1232.9677549639055</v>
      </c>
      <c r="E28" s="77">
        <v>445.9007864627067</v>
      </c>
      <c r="F28" s="80">
        <v>60.712434624954746</v>
      </c>
      <c r="G28" s="77">
        <v>5.98</v>
      </c>
    </row>
    <row r="29" ht="22.5" customHeight="1">
      <c r="A29" s="77">
        <v>10.0</v>
      </c>
      <c r="B29" s="77">
        <v>1.0</v>
      </c>
      <c r="C29" s="78">
        <v>600.9296378936393</v>
      </c>
      <c r="D29" s="77">
        <v>2355.7418618048396</v>
      </c>
      <c r="E29" s="77">
        <v>500.10611628069313</v>
      </c>
      <c r="F29" s="80">
        <v>96.65811417094937</v>
      </c>
      <c r="G29" s="77">
        <v>4.96</v>
      </c>
    </row>
    <row r="30" ht="22.5" customHeight="1">
      <c r="A30" s="77">
        <v>10.0</v>
      </c>
      <c r="B30" s="77">
        <v>2.0</v>
      </c>
      <c r="C30" s="78">
        <v>650.7121774927963</v>
      </c>
      <c r="D30" s="77">
        <v>2303.8064505361745</v>
      </c>
      <c r="E30" s="77">
        <v>475.03378217706273</v>
      </c>
      <c r="F30" s="80">
        <v>117.13979099190959</v>
      </c>
      <c r="G30" s="77">
        <v>4.93</v>
      </c>
    </row>
    <row r="31" ht="22.5" customHeight="1">
      <c r="A31" s="77">
        <v>10.0</v>
      </c>
      <c r="B31" s="77">
        <v>3.0</v>
      </c>
      <c r="C31" s="78">
        <v>709.6043631477734</v>
      </c>
      <c r="D31" s="77">
        <v>2313.032249727557</v>
      </c>
      <c r="E31" s="77">
        <v>483.8925941107258</v>
      </c>
      <c r="F31" s="80">
        <v>126.19065236614853</v>
      </c>
      <c r="G31" s="77">
        <v>4.98</v>
      </c>
    </row>
    <row r="32" ht="22.5" customHeight="1">
      <c r="A32" s="77">
        <v>11.0</v>
      </c>
      <c r="B32" s="77">
        <v>1.0</v>
      </c>
      <c r="C32" s="78">
        <v>416.3507332995807</v>
      </c>
      <c r="D32" s="77">
        <v>1377.4193520084505</v>
      </c>
      <c r="E32" s="77">
        <v>347.2110927083625</v>
      </c>
      <c r="F32" s="80">
        <v>89.62482238492926</v>
      </c>
      <c r="G32" s="77">
        <v>5.61</v>
      </c>
    </row>
    <row r="33" ht="22.5" customHeight="1">
      <c r="A33" s="77">
        <v>11.0</v>
      </c>
      <c r="B33" s="77">
        <v>2.0</v>
      </c>
      <c r="C33" s="78">
        <v>473.3415423295996</v>
      </c>
      <c r="D33" s="77">
        <v>1312.8387192141627</v>
      </c>
      <c r="E33" s="77">
        <v>367.99724339640613</v>
      </c>
      <c r="F33" s="80">
        <v>86.86592318402404</v>
      </c>
      <c r="G33" s="77">
        <v>5.72</v>
      </c>
    </row>
    <row r="34" ht="22.5" customHeight="1">
      <c r="A34" s="77">
        <v>11.0</v>
      </c>
      <c r="B34" s="77">
        <v>3.0</v>
      </c>
      <c r="C34" s="78">
        <v>431.54687855264336</v>
      </c>
      <c r="D34" s="77">
        <v>1391.8064519820678</v>
      </c>
      <c r="E34" s="77">
        <v>354.56978024727425</v>
      </c>
      <c r="F34" s="80">
        <v>81.6530464093867</v>
      </c>
      <c r="G34" s="77">
        <v>5.68</v>
      </c>
    </row>
    <row r="35" ht="22.5" customHeight="1">
      <c r="A35" s="77">
        <v>12.0</v>
      </c>
      <c r="B35" s="77">
        <v>1.0</v>
      </c>
      <c r="C35" s="78">
        <v>603.3328881012959</v>
      </c>
      <c r="D35" s="77">
        <v>1637.096802511523</v>
      </c>
      <c r="E35" s="77">
        <v>454.7276450840418</v>
      </c>
      <c r="F35" s="80">
        <v>117.72962369249234</v>
      </c>
      <c r="G35" s="77">
        <v>5.74</v>
      </c>
    </row>
    <row r="36" ht="22.5" customHeight="1">
      <c r="A36" s="77">
        <v>12.0</v>
      </c>
      <c r="B36" s="77">
        <v>2.0</v>
      </c>
      <c r="C36" s="78">
        <v>484.99101285939355</v>
      </c>
      <c r="D36" s="77">
        <v>1393.4193632833421</v>
      </c>
      <c r="E36" s="77">
        <v>358.78229555039206</v>
      </c>
      <c r="F36" s="80">
        <v>103.48498756150175</v>
      </c>
      <c r="G36" s="77">
        <v>5.84</v>
      </c>
    </row>
    <row r="37" ht="22.5" customHeight="1">
      <c r="A37" s="77">
        <v>12.0</v>
      </c>
      <c r="B37" s="77">
        <v>3.0</v>
      </c>
      <c r="C37" s="78">
        <v>530.4906212169192</v>
      </c>
      <c r="D37" s="77">
        <v>1309.6129254525708</v>
      </c>
      <c r="E37" s="77">
        <v>332.9218334663916</v>
      </c>
      <c r="F37" s="80">
        <v>108.7644794958708</v>
      </c>
      <c r="G37" s="77">
        <v>5.83</v>
      </c>
    </row>
    <row r="38" ht="22.5" customHeight="1">
      <c r="A38" s="77">
        <v>13.0</v>
      </c>
      <c r="B38" s="77">
        <v>1.0</v>
      </c>
      <c r="C38" s="78">
        <v>506.0254565405884</v>
      </c>
      <c r="D38" s="77">
        <v>1817.4838572317553</v>
      </c>
      <c r="E38" s="77">
        <v>413.67243480228507</v>
      </c>
      <c r="F38" s="80">
        <v>139.20974939057086</v>
      </c>
      <c r="G38" s="77">
        <v>6.18</v>
      </c>
    </row>
    <row r="39" ht="22.5" customHeight="1">
      <c r="A39" s="77">
        <v>13.0</v>
      </c>
      <c r="B39" s="77">
        <v>2.0</v>
      </c>
      <c r="C39" s="78">
        <v>578.8688767440968</v>
      </c>
      <c r="D39" s="77">
        <v>1835.2258142502078</v>
      </c>
      <c r="E39" s="77">
        <v>447.1317793534467</v>
      </c>
      <c r="F39" s="80">
        <v>160.8780635632246</v>
      </c>
      <c r="G39" s="77">
        <v>6.17</v>
      </c>
    </row>
    <row r="40" ht="22.5" customHeight="1">
      <c r="A40" s="77">
        <v>13.0</v>
      </c>
      <c r="B40" s="77">
        <v>3.0</v>
      </c>
      <c r="C40" s="78">
        <v>643.4266652999802</v>
      </c>
      <c r="D40" s="77">
        <v>1721.8709313638751</v>
      </c>
      <c r="E40" s="77">
        <v>456.1492787692342</v>
      </c>
      <c r="F40" s="80">
        <v>166.17416504043052</v>
      </c>
      <c r="G40" s="77">
        <v>6.06</v>
      </c>
    </row>
    <row r="41" ht="22.5" customHeight="1">
      <c r="A41" s="77">
        <v>14.0</v>
      </c>
      <c r="B41" s="77">
        <v>1.0</v>
      </c>
      <c r="C41" s="78">
        <v>955.4722046993958</v>
      </c>
      <c r="D41" s="77">
        <v>3016.0645164366692</v>
      </c>
      <c r="E41" s="77">
        <v>769.6188968617416</v>
      </c>
      <c r="F41" s="80">
        <v>164.0644238243822</v>
      </c>
      <c r="G41" s="77">
        <v>5.49</v>
      </c>
    </row>
    <row r="42" ht="22.5" customHeight="1">
      <c r="A42" s="77">
        <v>14.0</v>
      </c>
      <c r="B42" s="77">
        <v>2.0</v>
      </c>
      <c r="C42" s="78">
        <v>835.6911762046462</v>
      </c>
      <c r="D42" s="77">
        <v>2899.5483570098877</v>
      </c>
      <c r="E42" s="77">
        <v>728.1764631032944</v>
      </c>
      <c r="F42" s="80">
        <v>164.41040658866953</v>
      </c>
      <c r="G42" s="77">
        <v>5.56</v>
      </c>
    </row>
    <row r="43" ht="22.5" customHeight="1">
      <c r="A43" s="77">
        <v>14.0</v>
      </c>
      <c r="B43" s="77">
        <v>3.0</v>
      </c>
      <c r="C43" s="78">
        <v>885.1691347770508</v>
      </c>
      <c r="D43" s="77">
        <v>2463.4838522018927</v>
      </c>
      <c r="E43" s="77">
        <v>730.7740901204645</v>
      </c>
      <c r="F43" s="80">
        <v>127.32651265800101</v>
      </c>
      <c r="G43" s="77">
        <v>5.98</v>
      </c>
    </row>
    <row r="44" ht="22.5" customHeight="1">
      <c r="A44" s="77">
        <v>15.0</v>
      </c>
      <c r="B44" s="77">
        <v>1.0</v>
      </c>
      <c r="C44" s="78">
        <v>951.1910567279156</v>
      </c>
      <c r="D44" s="77">
        <v>2783.548441102428</v>
      </c>
      <c r="E44" s="77">
        <v>790.3387636269488</v>
      </c>
      <c r="F44" s="80">
        <v>212.7828035909054</v>
      </c>
      <c r="G44" s="77">
        <v>5.72</v>
      </c>
    </row>
    <row r="45" ht="22.5" customHeight="1">
      <c r="A45" s="77">
        <v>15.0</v>
      </c>
      <c r="B45" s="77">
        <v>2.0</v>
      </c>
      <c r="C45" s="78">
        <v>929.1638770360433</v>
      </c>
      <c r="D45" s="77">
        <v>2864.4516328227137</v>
      </c>
      <c r="E45" s="77">
        <v>740.0023176265369</v>
      </c>
      <c r="F45" s="80">
        <v>187.78621774045243</v>
      </c>
      <c r="G45" s="77">
        <v>5.77</v>
      </c>
    </row>
    <row r="46" ht="22.5" customHeight="1">
      <c r="A46" s="77">
        <v>15.0</v>
      </c>
      <c r="B46" s="77">
        <v>3.0</v>
      </c>
      <c r="C46" s="78">
        <v>1018.1577169107888</v>
      </c>
      <c r="D46" s="77">
        <v>2960.3226660297764</v>
      </c>
      <c r="E46" s="77">
        <v>783.0672414510955</v>
      </c>
      <c r="F46" s="80">
        <v>200.7888541227955</v>
      </c>
      <c r="G46" s="77">
        <v>5.72</v>
      </c>
    </row>
    <row r="47" ht="22.5" customHeight="1">
      <c r="A47" s="77">
        <v>16.0</v>
      </c>
      <c r="B47" s="77">
        <v>1.0</v>
      </c>
      <c r="C47" s="78">
        <v>1085.916535176029</v>
      </c>
      <c r="D47" s="77">
        <v>1491.5483742529348</v>
      </c>
      <c r="E47" s="77">
        <v>645.8495032238018</v>
      </c>
      <c r="F47" s="80">
        <v>156.85908296109466</v>
      </c>
      <c r="G47" s="77">
        <v>6.36</v>
      </c>
    </row>
    <row r="48" ht="22.5" customHeight="1">
      <c r="A48" s="77">
        <v>16.0</v>
      </c>
      <c r="B48" s="77">
        <v>2.0</v>
      </c>
      <c r="C48" s="78">
        <v>957.0707739913031</v>
      </c>
      <c r="D48" s="77">
        <v>1239.354854106903</v>
      </c>
      <c r="E48" s="77">
        <v>575.1533365670475</v>
      </c>
      <c r="F48" s="80">
        <v>124.74770216480091</v>
      </c>
      <c r="G48" s="77">
        <v>6.56</v>
      </c>
    </row>
    <row r="49" ht="22.5" customHeight="1">
      <c r="A49" s="77">
        <v>16.0</v>
      </c>
      <c r="B49" s="77">
        <v>3.0</v>
      </c>
      <c r="C49" s="78">
        <v>951.6859149785205</v>
      </c>
      <c r="D49" s="77">
        <v>1247.548377759995</v>
      </c>
      <c r="E49" s="77">
        <v>590.0822353267279</v>
      </c>
      <c r="F49" s="80">
        <v>151.04457917098688</v>
      </c>
      <c r="G49" s="77">
        <v>6.52</v>
      </c>
    </row>
    <row r="50" ht="22.5" customHeight="1">
      <c r="A50" s="77">
        <v>17.0</v>
      </c>
      <c r="B50" s="77">
        <v>1.0</v>
      </c>
      <c r="C50" s="78">
        <v>692.1098937460029</v>
      </c>
      <c r="D50" s="77">
        <v>1990.4516045662667</v>
      </c>
      <c r="E50" s="77">
        <v>712.1930627472851</v>
      </c>
      <c r="F50" s="80">
        <v>92.75178079543876</v>
      </c>
      <c r="G50" s="77">
        <v>5.54</v>
      </c>
    </row>
    <row r="51" ht="22.5" customHeight="1">
      <c r="A51" s="77">
        <v>17.0</v>
      </c>
      <c r="B51" s="77">
        <v>2.0</v>
      </c>
      <c r="C51" s="78">
        <v>769.7878356556306</v>
      </c>
      <c r="D51" s="77">
        <v>2731.5484549307057</v>
      </c>
      <c r="E51" s="77">
        <v>714.8258249163878</v>
      </c>
      <c r="F51" s="80">
        <v>96.95473663820592</v>
      </c>
      <c r="G51" s="77">
        <v>5.36</v>
      </c>
    </row>
    <row r="52" ht="22.5" customHeight="1">
      <c r="A52" s="77">
        <v>17.0</v>
      </c>
      <c r="B52" s="77">
        <v>3.0</v>
      </c>
      <c r="C52" s="78">
        <v>606.9948509326946</v>
      </c>
      <c r="D52" s="77">
        <v>2815.03218167828</v>
      </c>
      <c r="E52" s="77">
        <v>717.191885831163</v>
      </c>
      <c r="F52" s="80">
        <v>101.40889409830937</v>
      </c>
      <c r="G52" s="77">
        <v>4.85</v>
      </c>
    </row>
    <row r="53" ht="22.5" customHeight="1">
      <c r="A53" s="77">
        <v>18.0</v>
      </c>
      <c r="B53" s="77">
        <v>1.0</v>
      </c>
      <c r="C53" s="78">
        <v>964.3396025048369</v>
      </c>
      <c r="D53" s="77">
        <v>2965.806533690422</v>
      </c>
      <c r="E53" s="77">
        <v>801.675608909011</v>
      </c>
      <c r="F53" s="80">
        <v>184.27636035844327</v>
      </c>
      <c r="G53" s="77">
        <v>5.18</v>
      </c>
    </row>
    <row r="54" ht="22.5" customHeight="1">
      <c r="A54" s="77">
        <v>18.0</v>
      </c>
      <c r="B54" s="77">
        <v>2.0</v>
      </c>
      <c r="C54" s="78">
        <v>752.2405541429049</v>
      </c>
      <c r="D54" s="77">
        <v>2793.4193644369807</v>
      </c>
      <c r="E54" s="77">
        <v>666.050848078196</v>
      </c>
      <c r="F54" s="80">
        <v>190.23713858521197</v>
      </c>
      <c r="G54" s="77">
        <v>4.97</v>
      </c>
    </row>
    <row r="55" ht="22.5" customHeight="1">
      <c r="A55" s="77">
        <v>18.0</v>
      </c>
      <c r="B55" s="77">
        <v>3.0</v>
      </c>
      <c r="C55" s="78">
        <v>759.0847511784258</v>
      </c>
      <c r="D55" s="77">
        <v>2749.8064535817794</v>
      </c>
      <c r="E55" s="77">
        <v>640.7109886951391</v>
      </c>
      <c r="F55" s="80">
        <v>164.71904124410827</v>
      </c>
      <c r="G55" s="77">
        <v>5.17</v>
      </c>
    </row>
    <row r="56" ht="22.5" customHeight="1">
      <c r="A56" s="77">
        <v>19.0</v>
      </c>
      <c r="B56" s="77">
        <v>1.0</v>
      </c>
      <c r="C56" s="78">
        <v>693.1985502475264</v>
      </c>
      <c r="D56" s="77">
        <v>2034.516164810427</v>
      </c>
      <c r="E56" s="77">
        <v>581.8642884675237</v>
      </c>
      <c r="F56" s="80">
        <v>80.25092875516408</v>
      </c>
      <c r="G56" s="77">
        <v>5.28</v>
      </c>
    </row>
    <row r="57" ht="22.5" customHeight="1">
      <c r="A57" s="77">
        <v>19.0</v>
      </c>
      <c r="B57" s="77">
        <v>2.0</v>
      </c>
      <c r="C57" s="78">
        <v>769.1091590272924</v>
      </c>
      <c r="D57" s="77">
        <v>2124.9031861520584</v>
      </c>
      <c r="E57" s="77">
        <v>549.612222937899</v>
      </c>
      <c r="F57" s="80">
        <v>70.28757772202484</v>
      </c>
      <c r="G57" s="77">
        <v>5.01</v>
      </c>
    </row>
    <row r="58" ht="22.5" customHeight="1">
      <c r="A58" s="77">
        <v>19.0</v>
      </c>
      <c r="B58" s="77">
        <v>3.0</v>
      </c>
      <c r="C58" s="78">
        <v>917.9256522954317</v>
      </c>
      <c r="D58" s="77">
        <v>2569.483887241733</v>
      </c>
      <c r="E58" s="77">
        <v>825.2599601028493</v>
      </c>
      <c r="F58" s="80">
        <v>64.89576636456432</v>
      </c>
      <c r="G58" s="77">
        <v>5.77</v>
      </c>
    </row>
    <row r="59" ht="22.5" customHeight="1">
      <c r="A59" s="77">
        <v>20.0</v>
      </c>
      <c r="B59" s="77">
        <v>1.0</v>
      </c>
      <c r="C59" s="78">
        <v>732.635985601563</v>
      </c>
      <c r="D59" s="77">
        <v>2367.290405934857</v>
      </c>
      <c r="E59" s="77">
        <v>555.3037624485177</v>
      </c>
      <c r="F59" s="80">
        <v>146.4134093592693</v>
      </c>
      <c r="G59" s="77">
        <v>5.43</v>
      </c>
    </row>
    <row r="60" ht="22.5" customHeight="1">
      <c r="A60" s="77">
        <v>20.0</v>
      </c>
      <c r="B60" s="77">
        <v>2.0</v>
      </c>
      <c r="C60" s="78">
        <v>594.0039512390257</v>
      </c>
      <c r="D60" s="77">
        <v>2038.322603948655</v>
      </c>
      <c r="E60" s="77">
        <v>423.677680406899</v>
      </c>
      <c r="F60" s="80">
        <v>110.44731442838949</v>
      </c>
      <c r="G60" s="77">
        <v>5.5</v>
      </c>
    </row>
    <row r="61" ht="22.5" customHeight="1">
      <c r="A61" s="77">
        <v>20.0</v>
      </c>
      <c r="B61" s="77">
        <v>3.0</v>
      </c>
      <c r="C61" s="78">
        <v>561.2486128942309</v>
      </c>
      <c r="D61" s="77">
        <v>1960.9032460335764</v>
      </c>
      <c r="E61" s="77">
        <v>373.95394975564193</v>
      </c>
      <c r="F61" s="80">
        <v>118.2651070021812</v>
      </c>
      <c r="G61" s="77">
        <v>5.44</v>
      </c>
    </row>
    <row r="62" ht="22.5" customHeight="1">
      <c r="A62" s="77">
        <v>21.0</v>
      </c>
      <c r="B62" s="77">
        <v>1.0</v>
      </c>
      <c r="C62" s="78">
        <v>1188.5146750920737</v>
      </c>
      <c r="D62" s="77">
        <v>2734.0000420385795</v>
      </c>
      <c r="E62" s="77">
        <v>700.7883341704063</v>
      </c>
      <c r="F62" s="80">
        <v>184.38439524884552</v>
      </c>
      <c r="G62" s="77">
        <v>4.69</v>
      </c>
    </row>
    <row r="63" ht="22.5" customHeight="1">
      <c r="A63" s="77">
        <v>21.0</v>
      </c>
      <c r="B63" s="77">
        <v>2.0</v>
      </c>
      <c r="C63" s="78">
        <v>1133.9151983482964</v>
      </c>
      <c r="D63" s="77">
        <v>2525.9354551530655</v>
      </c>
      <c r="E63" s="77">
        <v>599.8286490446483</v>
      </c>
      <c r="F63" s="80">
        <v>198.53272268661337</v>
      </c>
      <c r="G63" s="77">
        <v>5.36</v>
      </c>
    </row>
    <row r="64" ht="22.5" customHeight="1">
      <c r="A64" s="77">
        <v>21.0</v>
      </c>
      <c r="B64" s="77">
        <v>3.0</v>
      </c>
      <c r="C64" s="78">
        <v>1159.5713007159882</v>
      </c>
      <c r="D64" s="77">
        <v>2593.354922586872</v>
      </c>
      <c r="E64" s="77">
        <v>769.3296475360758</v>
      </c>
      <c r="F64" s="80">
        <v>168.6905283348859</v>
      </c>
      <c r="G64" s="77">
        <v>5.07</v>
      </c>
    </row>
    <row r="65" ht="22.5" customHeight="1">
      <c r="A65" s="77">
        <v>22.0</v>
      </c>
      <c r="B65" s="77">
        <v>1.0</v>
      </c>
      <c r="C65" s="78">
        <v>978.6807221979162</v>
      </c>
      <c r="D65" s="77">
        <v>1947.2903142590678</v>
      </c>
      <c r="E65" s="77">
        <v>595.2453255666621</v>
      </c>
      <c r="F65" s="80">
        <v>118.839777063227</v>
      </c>
      <c r="G65" s="77">
        <v>5.61</v>
      </c>
    </row>
    <row r="66" ht="22.5" customHeight="1">
      <c r="A66" s="77">
        <v>22.0</v>
      </c>
      <c r="B66" s="77">
        <v>2.0</v>
      </c>
      <c r="C66" s="78">
        <v>880.7548694078147</v>
      </c>
      <c r="D66" s="77">
        <v>2022.1935486178245</v>
      </c>
      <c r="E66" s="77">
        <v>604.3380855068182</v>
      </c>
      <c r="F66" s="80">
        <v>105.18837332403027</v>
      </c>
      <c r="G66" s="77">
        <v>5.39</v>
      </c>
    </row>
    <row r="67" ht="22.5" customHeight="1">
      <c r="A67" s="77">
        <v>22.0</v>
      </c>
      <c r="B67" s="77">
        <v>3.0</v>
      </c>
      <c r="C67" s="78">
        <v>793.1425370766107</v>
      </c>
      <c r="D67" s="77">
        <v>1910.1935754437602</v>
      </c>
      <c r="E67" s="77">
        <v>514.0418048139845</v>
      </c>
      <c r="F67" s="80">
        <v>99.98655518349851</v>
      </c>
      <c r="G67" s="77">
        <v>5.59</v>
      </c>
    </row>
    <row r="68" ht="22.5" customHeight="1">
      <c r="A68" s="77">
        <v>23.0</v>
      </c>
      <c r="B68" s="77">
        <v>1.0</v>
      </c>
      <c r="C68" s="78">
        <v>804.2811934375181</v>
      </c>
      <c r="D68" s="77">
        <v>2248.0645424473673</v>
      </c>
      <c r="E68" s="77">
        <v>506.5369504922451</v>
      </c>
      <c r="F68" s="80">
        <v>95.42557532057036</v>
      </c>
      <c r="G68" s="77">
        <v>4.92</v>
      </c>
    </row>
    <row r="69" ht="22.5" customHeight="1">
      <c r="A69" s="77">
        <v>23.0</v>
      </c>
      <c r="B69" s="77">
        <v>2.0</v>
      </c>
      <c r="C69" s="78">
        <v>964.0436117218965</v>
      </c>
      <c r="D69" s="77">
        <v>2164.7742039311315</v>
      </c>
      <c r="E69" s="77">
        <v>556.6224559122807</v>
      </c>
      <c r="F69" s="80">
        <v>69.53937442576537</v>
      </c>
      <c r="G69" s="77">
        <v>4.9</v>
      </c>
    </row>
    <row r="70" ht="22.5" customHeight="1">
      <c r="A70" s="77">
        <v>23.0</v>
      </c>
      <c r="B70" s="77">
        <v>3.0</v>
      </c>
      <c r="C70" s="78">
        <v>1186.030144642798</v>
      </c>
      <c r="D70" s="77">
        <v>2621.677377008623</v>
      </c>
      <c r="E70" s="77">
        <v>622.2715816510475</v>
      </c>
      <c r="F70" s="80">
        <v>85.82353951274503</v>
      </c>
      <c r="G70" s="77">
        <v>5.04</v>
      </c>
    </row>
    <row r="71" ht="22.5" customHeight="1">
      <c r="A71" s="77">
        <v>24.0</v>
      </c>
      <c r="B71" s="77">
        <v>1.0</v>
      </c>
      <c r="C71" s="78">
        <v>977.6118010541287</v>
      </c>
      <c r="D71" s="77">
        <v>2934.8387097697105</v>
      </c>
      <c r="E71" s="77">
        <v>722.5669148123364</v>
      </c>
      <c r="F71" s="80">
        <v>111.77438727323133</v>
      </c>
      <c r="G71" s="77">
        <v>4.95</v>
      </c>
    </row>
    <row r="72" ht="22.5" customHeight="1">
      <c r="A72" s="77">
        <v>24.0</v>
      </c>
      <c r="B72" s="77">
        <v>2.0</v>
      </c>
      <c r="C72" s="78">
        <v>892.0959478704763</v>
      </c>
      <c r="D72" s="77">
        <v>2628.7096387493993</v>
      </c>
      <c r="E72" s="77">
        <v>701.5695375537384</v>
      </c>
      <c r="F72" s="80">
        <v>100.32349865076718</v>
      </c>
      <c r="G72" s="77">
        <v>4.79</v>
      </c>
    </row>
    <row r="73" ht="22.5" customHeight="1">
      <c r="A73" s="77">
        <v>24.0</v>
      </c>
      <c r="B73" s="77">
        <v>3.0</v>
      </c>
      <c r="C73" s="78">
        <v>870.918026116243</v>
      </c>
      <c r="D73" s="77">
        <v>2456.7097074139506</v>
      </c>
      <c r="E73" s="77">
        <v>596.2043744891971</v>
      </c>
      <c r="F73" s="80">
        <v>95.55584258923508</v>
      </c>
      <c r="G73" s="77">
        <v>4.97</v>
      </c>
    </row>
    <row r="74" ht="22.5" customHeight="1">
      <c r="A74" s="77">
        <v>25.0</v>
      </c>
      <c r="B74" s="77">
        <v>1.0</v>
      </c>
      <c r="C74" s="78">
        <v>486.274237691799</v>
      </c>
      <c r="D74" s="77">
        <v>1911.6774042344864</v>
      </c>
      <c r="E74" s="77">
        <v>355.4930663660166</v>
      </c>
      <c r="F74" s="80">
        <v>90.85505101128093</v>
      </c>
      <c r="G74" s="77">
        <v>4.69</v>
      </c>
    </row>
    <row r="75" ht="22.5" customHeight="1">
      <c r="A75" s="77">
        <v>25.0</v>
      </c>
      <c r="B75" s="77">
        <v>2.0</v>
      </c>
      <c r="C75" s="78">
        <v>537.616625387265</v>
      </c>
      <c r="D75" s="77">
        <v>1870.5806169356072</v>
      </c>
      <c r="E75" s="77">
        <v>366.9342480349491</v>
      </c>
      <c r="F75" s="80">
        <v>76.87048703296631</v>
      </c>
      <c r="G75" s="77">
        <v>5.02</v>
      </c>
    </row>
    <row r="76" ht="22.5" customHeight="1">
      <c r="A76" s="77">
        <v>25.0</v>
      </c>
      <c r="B76" s="77">
        <v>3.0</v>
      </c>
      <c r="C76" s="78">
        <v>530.4669511182063</v>
      </c>
      <c r="D76" s="77">
        <v>2015.6774342598455</v>
      </c>
      <c r="E76" s="77">
        <v>405.80966467933837</v>
      </c>
      <c r="F76" s="80">
        <v>42.53579609188592</v>
      </c>
      <c r="G76" s="77">
        <v>4.99</v>
      </c>
    </row>
    <row r="77" ht="22.5" customHeight="1">
      <c r="A77" s="77">
        <v>26.0</v>
      </c>
      <c r="B77" s="77">
        <v>1.0</v>
      </c>
      <c r="C77" s="78">
        <v>451.4702173650977</v>
      </c>
      <c r="D77" s="77">
        <v>628.8696710226614</v>
      </c>
      <c r="E77" s="77">
        <v>243.40980089373795</v>
      </c>
      <c r="F77" s="80">
        <v>29.790701389289552</v>
      </c>
      <c r="G77" s="77">
        <v>5.27</v>
      </c>
    </row>
    <row r="78" ht="22.5" customHeight="1">
      <c r="A78" s="77">
        <v>26.0</v>
      </c>
      <c r="B78" s="77">
        <v>2.0</v>
      </c>
      <c r="C78" s="78">
        <v>370.27084643784195</v>
      </c>
      <c r="D78" s="77">
        <v>843.9561057561443</v>
      </c>
      <c r="E78" s="77">
        <v>274.4150916877782</v>
      </c>
      <c r="F78" s="80">
        <v>35.345703264609014</v>
      </c>
      <c r="G78" s="77">
        <v>5.43</v>
      </c>
    </row>
    <row r="79" ht="22.5" customHeight="1">
      <c r="A79" s="77">
        <v>26.0</v>
      </c>
      <c r="B79" s="77">
        <v>3.0</v>
      </c>
      <c r="C79" s="78">
        <v>331.4145390588172</v>
      </c>
      <c r="D79" s="77">
        <v>949.0296708085459</v>
      </c>
      <c r="E79" s="77">
        <v>319.2828149020194</v>
      </c>
      <c r="F79" s="80">
        <v>33.76706277987519</v>
      </c>
      <c r="G79" s="77">
        <v>5.12</v>
      </c>
    </row>
    <row r="80" ht="22.5" customHeight="1">
      <c r="A80" s="77">
        <v>27.0</v>
      </c>
      <c r="B80" s="77">
        <v>1.0</v>
      </c>
      <c r="C80" s="78">
        <v>461.92628084161305</v>
      </c>
      <c r="D80" s="77">
        <v>1666.8825701445917</v>
      </c>
      <c r="E80" s="77">
        <v>520.1639031096976</v>
      </c>
      <c r="F80" s="80">
        <v>132.1454563845867</v>
      </c>
      <c r="G80" s="77">
        <v>5.36</v>
      </c>
    </row>
    <row r="81" ht="22.5" customHeight="1">
      <c r="A81" s="77">
        <v>27.0</v>
      </c>
      <c r="B81" s="77">
        <v>2.0</v>
      </c>
      <c r="C81" s="78">
        <v>455.2312977833865</v>
      </c>
      <c r="D81" s="77">
        <v>1723.6851644217584</v>
      </c>
      <c r="E81" s="77">
        <v>603.7852072201661</v>
      </c>
      <c r="F81" s="80">
        <v>129.9441977602878</v>
      </c>
      <c r="G81" s="77">
        <v>5.37</v>
      </c>
    </row>
    <row r="82" ht="22.5" customHeight="1">
      <c r="A82" s="77">
        <v>27.0</v>
      </c>
      <c r="B82" s="77">
        <v>3.0</v>
      </c>
      <c r="C82" s="78">
        <v>571.8454622893456</v>
      </c>
      <c r="D82" s="77">
        <v>2084.332933549881</v>
      </c>
      <c r="E82" s="77">
        <v>669.412226657484</v>
      </c>
      <c r="F82" s="80">
        <v>152.5855794119455</v>
      </c>
      <c r="G82" s="77">
        <v>5.43</v>
      </c>
    </row>
    <row r="83" ht="22.5" customHeight="1">
      <c r="A83" s="77">
        <v>28.0</v>
      </c>
      <c r="B83" s="77">
        <v>1.0</v>
      </c>
      <c r="C83" s="78">
        <v>695.5529219397379</v>
      </c>
      <c r="D83" s="77">
        <v>2271.429663136082</v>
      </c>
      <c r="E83" s="77">
        <v>626.4266537035537</v>
      </c>
      <c r="F83" s="80">
        <v>174.79627212846086</v>
      </c>
      <c r="G83" s="77">
        <v>5.05</v>
      </c>
    </row>
    <row r="84" ht="22.5" customHeight="1">
      <c r="A84" s="77">
        <v>28.0</v>
      </c>
      <c r="B84" s="77">
        <v>2.0</v>
      </c>
      <c r="C84" s="78">
        <v>554.5941206483996</v>
      </c>
      <c r="D84" s="77">
        <v>2185.6644997759786</v>
      </c>
      <c r="E84" s="77">
        <v>615.1694806755414</v>
      </c>
      <c r="F84" s="80">
        <v>184.1280633938963</v>
      </c>
      <c r="G84" s="77">
        <v>5.06</v>
      </c>
    </row>
    <row r="85" ht="22.5" customHeight="1">
      <c r="A85" s="77">
        <v>28.0</v>
      </c>
      <c r="B85" s="77">
        <v>3.0</v>
      </c>
      <c r="C85" s="78">
        <v>659.8613756136742</v>
      </c>
      <c r="D85" s="77">
        <v>2072.508417991823</v>
      </c>
      <c r="E85" s="77">
        <v>450.9235861354943</v>
      </c>
      <c r="F85" s="80">
        <v>176.78317971338043</v>
      </c>
      <c r="G85" s="77">
        <v>5.49</v>
      </c>
    </row>
    <row r="86" ht="22.5" customHeight="1">
      <c r="A86" s="77">
        <v>29.0</v>
      </c>
      <c r="B86" s="77">
        <v>1.0</v>
      </c>
      <c r="C86" s="78">
        <v>563.2503230674163</v>
      </c>
      <c r="D86" s="77">
        <v>2188.5083240933573</v>
      </c>
      <c r="E86" s="77">
        <v>480.3943059488028</v>
      </c>
      <c r="F86" s="80">
        <v>45.793117880665854</v>
      </c>
      <c r="G86" s="77">
        <v>5.29</v>
      </c>
    </row>
    <row r="87" ht="22.5" customHeight="1">
      <c r="A87" s="77">
        <v>29.0</v>
      </c>
      <c r="B87" s="77">
        <v>2.0</v>
      </c>
      <c r="C87" s="78">
        <v>545.0239636230639</v>
      </c>
      <c r="D87" s="77">
        <v>2088.8232150471595</v>
      </c>
      <c r="E87" s="77">
        <v>449.94746129598855</v>
      </c>
      <c r="F87" s="80">
        <v>43.974222521269134</v>
      </c>
      <c r="G87" s="77">
        <v>5.39</v>
      </c>
    </row>
    <row r="88" ht="22.5" customHeight="1">
      <c r="A88" s="77">
        <v>29.0</v>
      </c>
      <c r="B88" s="77">
        <v>3.0</v>
      </c>
      <c r="C88" s="78">
        <v>500.08244723212846</v>
      </c>
      <c r="D88" s="77">
        <v>1853.2309836043082</v>
      </c>
      <c r="E88" s="77">
        <v>501.2023804622936</v>
      </c>
      <c r="F88" s="80">
        <v>46.319978137868354</v>
      </c>
      <c r="G88" s="77">
        <v>5.37</v>
      </c>
    </row>
    <row r="89" ht="22.5" customHeight="1">
      <c r="A89" s="77">
        <v>30.0</v>
      </c>
      <c r="B89" s="77">
        <v>1.0</v>
      </c>
      <c r="C89" s="78">
        <v>497.7913211292137</v>
      </c>
      <c r="D89" s="77">
        <v>1522.3690121490727</v>
      </c>
      <c r="E89" s="77">
        <v>362.9628437753496</v>
      </c>
      <c r="F89" s="99">
        <v>125.93161955024472</v>
      </c>
      <c r="G89" s="77">
        <v>5.48</v>
      </c>
    </row>
    <row r="90" ht="22.5" customHeight="1">
      <c r="A90" s="77">
        <v>30.0</v>
      </c>
      <c r="B90" s="77">
        <v>2.0</v>
      </c>
      <c r="C90" s="78">
        <v>439.35354922725844</v>
      </c>
      <c r="D90" s="77">
        <v>1692.2529262967264</v>
      </c>
      <c r="E90" s="77">
        <v>399.12736959029917</v>
      </c>
      <c r="F90" s="80">
        <v>126.39934133927851</v>
      </c>
      <c r="G90" s="77">
        <v>5.24</v>
      </c>
    </row>
    <row r="91" ht="22.5" customHeight="1">
      <c r="A91" s="77">
        <v>30.0</v>
      </c>
      <c r="B91" s="77">
        <v>3.0</v>
      </c>
      <c r="C91" s="78">
        <v>534.3898915234545</v>
      </c>
      <c r="D91" s="77">
        <v>1997.9690224979772</v>
      </c>
      <c r="E91" s="77">
        <v>443.57909033203043</v>
      </c>
      <c r="F91" s="80">
        <v>135.29282169007126</v>
      </c>
      <c r="G91" s="77">
        <v>5.34</v>
      </c>
    </row>
    <row r="92" ht="22.5" customHeight="1">
      <c r="A92" s="77">
        <v>31.0</v>
      </c>
      <c r="B92" s="77">
        <v>1.0</v>
      </c>
      <c r="C92" s="78">
        <v>303.0549217939687</v>
      </c>
      <c r="D92" s="77">
        <v>1807.7290473531907</v>
      </c>
      <c r="E92" s="77">
        <v>418.7901196176091</v>
      </c>
      <c r="F92" s="80">
        <v>38.634822692765454</v>
      </c>
      <c r="G92" s="77">
        <v>4.4</v>
      </c>
    </row>
    <row r="93" ht="22.5" customHeight="1">
      <c r="A93" s="77">
        <v>31.0</v>
      </c>
      <c r="B93" s="77">
        <v>2.0</v>
      </c>
      <c r="C93" s="78">
        <v>356.4234417525467</v>
      </c>
      <c r="D93" s="77">
        <v>1855.4761271409066</v>
      </c>
      <c r="E93" s="77">
        <v>339.84662865088836</v>
      </c>
      <c r="F93" s="80">
        <v>81.81458086320622</v>
      </c>
      <c r="G93" s="77">
        <v>4.42</v>
      </c>
    </row>
    <row r="94" ht="22.5" customHeight="1">
      <c r="A94" s="77">
        <v>31.0</v>
      </c>
      <c r="B94" s="77">
        <v>3.0</v>
      </c>
      <c r="C94" s="78">
        <v>493.5126513423825</v>
      </c>
      <c r="D94" s="77">
        <v>2147.721295211546</v>
      </c>
      <c r="E94" s="77">
        <v>296.6446782304934</v>
      </c>
      <c r="F94" s="99">
        <v>74.5514708913062</v>
      </c>
      <c r="G94" s="52" t="s">
        <v>403</v>
      </c>
    </row>
    <row r="95" ht="22.5" customHeight="1">
      <c r="A95" s="77">
        <v>32.0</v>
      </c>
      <c r="B95" s="77">
        <v>1.0</v>
      </c>
      <c r="C95" s="78">
        <v>608.9970053709491</v>
      </c>
      <c r="D95" s="77">
        <v>2150.7148050578944</v>
      </c>
      <c r="E95" s="77">
        <v>406.81157963004193</v>
      </c>
      <c r="F95" s="80">
        <v>163.05189532744345</v>
      </c>
      <c r="G95" s="77">
        <v>5.56</v>
      </c>
    </row>
    <row r="96" ht="22.5" customHeight="1">
      <c r="A96" s="77">
        <v>32.0</v>
      </c>
      <c r="B96" s="77">
        <v>2.0</v>
      </c>
      <c r="C96" s="78">
        <v>566.1086528434249</v>
      </c>
      <c r="D96" s="77">
        <v>2122.500658043892</v>
      </c>
      <c r="E96" s="77">
        <v>468.01540245128416</v>
      </c>
      <c r="F96" s="80">
        <v>162.50329191272823</v>
      </c>
      <c r="G96" s="77">
        <v>5.48</v>
      </c>
    </row>
    <row r="97" ht="22.5" customHeight="1">
      <c r="A97" s="77">
        <v>32.0</v>
      </c>
      <c r="B97" s="77">
        <v>3.0</v>
      </c>
      <c r="C97" s="78">
        <v>692.0937477000367</v>
      </c>
      <c r="D97" s="77">
        <v>2402.247739615902</v>
      </c>
      <c r="E97" s="77">
        <v>516.6353732961152</v>
      </c>
      <c r="F97" s="80">
        <v>168.69700153385077</v>
      </c>
      <c r="G97" s="77">
        <v>5.53</v>
      </c>
    </row>
    <row r="98" ht="22.5" customHeight="1">
      <c r="A98" s="77">
        <v>33.0</v>
      </c>
      <c r="B98" s="77">
        <v>1.0</v>
      </c>
      <c r="C98" s="78">
        <v>652.9434813763004</v>
      </c>
      <c r="D98" s="77">
        <v>2123.1741955289535</v>
      </c>
      <c r="E98" s="77">
        <v>529.3410298168767</v>
      </c>
      <c r="F98" s="80">
        <v>123.58407740710076</v>
      </c>
      <c r="G98" s="77">
        <v>5.76</v>
      </c>
    </row>
    <row r="99" ht="22.5" customHeight="1">
      <c r="A99" s="77">
        <v>33.0</v>
      </c>
      <c r="B99" s="77">
        <v>2.0</v>
      </c>
      <c r="C99" s="78">
        <v>521.2725280103771</v>
      </c>
      <c r="D99" s="77">
        <v>1588.4515627824107</v>
      </c>
      <c r="E99" s="77">
        <v>473.97864817325615</v>
      </c>
      <c r="F99" s="80">
        <v>95.13746342291151</v>
      </c>
      <c r="G99" s="77">
        <v>6.09</v>
      </c>
    </row>
    <row r="100" ht="22.5" customHeight="1">
      <c r="A100" s="77">
        <v>33.0</v>
      </c>
      <c r="B100" s="77">
        <v>3.0</v>
      </c>
      <c r="C100" s="78">
        <v>576.4744514800084</v>
      </c>
      <c r="D100" s="77">
        <v>1554.9238331942406</v>
      </c>
      <c r="E100" s="77">
        <v>360.5279008558255</v>
      </c>
      <c r="F100" s="80">
        <v>107.96872396530148</v>
      </c>
      <c r="G100" s="77">
        <v>5.86</v>
      </c>
    </row>
    <row r="101" ht="22.5" customHeight="1">
      <c r="A101" s="77">
        <v>34.0</v>
      </c>
      <c r="B101" s="77">
        <v>1.0</v>
      </c>
      <c r="C101" s="78">
        <v>524.8165384243528</v>
      </c>
      <c r="D101" s="77">
        <v>1395.292906615965</v>
      </c>
      <c r="E101" s="77">
        <v>294.10391416268357</v>
      </c>
      <c r="F101" s="80">
        <v>88.57232679877879</v>
      </c>
      <c r="G101" s="77">
        <v>4.98</v>
      </c>
    </row>
    <row r="102" ht="22.5" customHeight="1">
      <c r="A102" s="77">
        <v>34.0</v>
      </c>
      <c r="B102" s="77">
        <v>2.0</v>
      </c>
      <c r="C102" s="78">
        <v>672.2723110053156</v>
      </c>
      <c r="D102" s="77">
        <v>1344.7019300239317</v>
      </c>
      <c r="E102" s="77">
        <v>298.93484595068816</v>
      </c>
      <c r="F102" s="80">
        <v>91.09809005822379</v>
      </c>
      <c r="G102" s="77">
        <v>4.94</v>
      </c>
    </row>
    <row r="103" ht="22.5" customHeight="1">
      <c r="A103" s="77">
        <v>34.0</v>
      </c>
      <c r="B103" s="77">
        <v>3.0</v>
      </c>
      <c r="C103" s="78">
        <v>659.1180512862975</v>
      </c>
      <c r="D103" s="77">
        <v>1296.9548056288686</v>
      </c>
      <c r="E103" s="77">
        <v>369.6047793053467</v>
      </c>
      <c r="F103" s="80">
        <v>78.60310331434573</v>
      </c>
      <c r="G103" s="77">
        <v>4.92</v>
      </c>
    </row>
  </sheetData>
  <dataValidations>
    <dataValidation type="custom" allowBlank="1" showDropDown="1" sqref="C2:C103 F2:F103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79" t="s">
        <v>19</v>
      </c>
      <c r="B1" s="81" t="s">
        <v>320</v>
      </c>
      <c r="C1" s="81" t="s">
        <v>321</v>
      </c>
      <c r="D1" s="81" t="s">
        <v>322</v>
      </c>
      <c r="E1" s="81" t="s">
        <v>323</v>
      </c>
      <c r="F1" s="81" t="s">
        <v>324</v>
      </c>
      <c r="G1" s="81" t="s">
        <v>85</v>
      </c>
    </row>
    <row r="2" ht="22.5" customHeight="1">
      <c r="A2" s="82">
        <v>1.0</v>
      </c>
      <c r="B2" s="83">
        <v>1.0</v>
      </c>
      <c r="C2" s="84" t="s">
        <v>326</v>
      </c>
      <c r="D2" s="84" t="s">
        <v>327</v>
      </c>
      <c r="E2" s="83">
        <v>1.0</v>
      </c>
      <c r="F2" s="85">
        <v>45308.0</v>
      </c>
      <c r="G2" s="83">
        <v>781.0355888</v>
      </c>
    </row>
    <row r="3" ht="22.5" customHeight="1">
      <c r="A3" s="82">
        <v>1.0</v>
      </c>
      <c r="B3" s="83">
        <v>1.0</v>
      </c>
      <c r="C3" s="84" t="s">
        <v>328</v>
      </c>
      <c r="D3" s="86" t="s">
        <v>329</v>
      </c>
      <c r="E3" s="83">
        <v>2.0</v>
      </c>
      <c r="F3" s="85">
        <v>45308.0</v>
      </c>
      <c r="G3" s="83">
        <v>1003.369829</v>
      </c>
    </row>
    <row r="4" ht="22.5" customHeight="1">
      <c r="A4" s="82">
        <v>1.0</v>
      </c>
      <c r="B4" s="83">
        <v>1.0</v>
      </c>
      <c r="C4" s="84" t="s">
        <v>330</v>
      </c>
      <c r="D4" s="84" t="s">
        <v>331</v>
      </c>
      <c r="E4" s="83">
        <v>3.0</v>
      </c>
      <c r="F4" s="85">
        <v>45308.0</v>
      </c>
      <c r="G4" s="83">
        <v>1371.925422</v>
      </c>
    </row>
    <row r="5" ht="22.5" customHeight="1">
      <c r="A5" s="82">
        <v>1.0</v>
      </c>
      <c r="B5" s="83">
        <v>2.0</v>
      </c>
      <c r="C5" s="84" t="s">
        <v>326</v>
      </c>
      <c r="D5" s="84" t="s">
        <v>327</v>
      </c>
      <c r="E5" s="83">
        <v>4.0</v>
      </c>
      <c r="F5" s="85">
        <v>45308.0</v>
      </c>
      <c r="G5" s="83">
        <v>812.4905788</v>
      </c>
    </row>
    <row r="6" ht="22.5" customHeight="1">
      <c r="A6" s="82">
        <v>1.0</v>
      </c>
      <c r="B6" s="83">
        <v>2.0</v>
      </c>
      <c r="C6" s="84" t="s">
        <v>328</v>
      </c>
      <c r="D6" s="86" t="s">
        <v>329</v>
      </c>
      <c r="E6" s="83">
        <v>5.0</v>
      </c>
      <c r="F6" s="85">
        <v>45308.0</v>
      </c>
      <c r="G6" s="83">
        <v>1086.69826</v>
      </c>
    </row>
    <row r="7" ht="22.5" customHeight="1">
      <c r="A7" s="82">
        <v>1.0</v>
      </c>
      <c r="B7" s="83">
        <v>2.0</v>
      </c>
      <c r="C7" s="84" t="s">
        <v>330</v>
      </c>
      <c r="D7" s="84" t="s">
        <v>331</v>
      </c>
      <c r="E7" s="83">
        <v>6.0</v>
      </c>
      <c r="F7" s="85">
        <v>45308.0</v>
      </c>
      <c r="G7" s="83">
        <v>1356.368507</v>
      </c>
    </row>
    <row r="8" ht="22.5" customHeight="1">
      <c r="A8" s="82">
        <v>2.0</v>
      </c>
      <c r="B8" s="83">
        <v>1.0</v>
      </c>
      <c r="C8" s="84" t="s">
        <v>326</v>
      </c>
      <c r="D8" s="84" t="s">
        <v>327</v>
      </c>
      <c r="E8" s="83">
        <v>7.0</v>
      </c>
      <c r="F8" s="85">
        <v>45308.0</v>
      </c>
      <c r="G8" s="83">
        <v>999.3782524</v>
      </c>
    </row>
    <row r="9" ht="22.5" customHeight="1">
      <c r="A9" s="82">
        <v>2.0</v>
      </c>
      <c r="B9" s="83">
        <v>1.0</v>
      </c>
      <c r="C9" s="84" t="s">
        <v>328</v>
      </c>
      <c r="D9" s="86" t="s">
        <v>329</v>
      </c>
      <c r="E9" s="83">
        <v>8.0</v>
      </c>
      <c r="F9" s="85">
        <v>45308.0</v>
      </c>
      <c r="G9" s="83">
        <v>1115.287502</v>
      </c>
    </row>
    <row r="10" ht="22.5" customHeight="1">
      <c r="A10" s="82">
        <v>2.0</v>
      </c>
      <c r="B10" s="83">
        <v>1.0</v>
      </c>
      <c r="C10" s="84" t="s">
        <v>330</v>
      </c>
      <c r="D10" s="84" t="s">
        <v>331</v>
      </c>
      <c r="E10" s="83">
        <v>9.0</v>
      </c>
      <c r="F10" s="85">
        <v>45308.0</v>
      </c>
      <c r="G10" s="83">
        <v>1213.899919</v>
      </c>
    </row>
    <row r="11" ht="22.5" customHeight="1">
      <c r="A11" s="82">
        <v>2.0</v>
      </c>
      <c r="B11" s="83">
        <v>2.0</v>
      </c>
      <c r="C11" s="84" t="s">
        <v>326</v>
      </c>
      <c r="D11" s="84" t="s">
        <v>327</v>
      </c>
      <c r="E11" s="83">
        <v>10.0</v>
      </c>
      <c r="F11" s="85">
        <v>45308.0</v>
      </c>
      <c r="G11" s="83">
        <v>920.314327</v>
      </c>
    </row>
    <row r="12" ht="22.5" customHeight="1">
      <c r="A12" s="82">
        <v>2.0</v>
      </c>
      <c r="B12" s="83">
        <v>2.0</v>
      </c>
      <c r="C12" s="84" t="s">
        <v>328</v>
      </c>
      <c r="D12" s="86" t="s">
        <v>329</v>
      </c>
      <c r="E12" s="83">
        <v>11.0</v>
      </c>
      <c r="F12" s="85">
        <v>45308.0</v>
      </c>
      <c r="G12" s="83">
        <v>1243.751455</v>
      </c>
    </row>
    <row r="13" ht="22.5" customHeight="1">
      <c r="A13" s="82">
        <v>2.0</v>
      </c>
      <c r="B13" s="83">
        <v>2.0</v>
      </c>
      <c r="C13" s="84" t="s">
        <v>330</v>
      </c>
      <c r="D13" s="84" t="s">
        <v>331</v>
      </c>
      <c r="E13" s="83">
        <v>12.0</v>
      </c>
      <c r="F13" s="85">
        <v>45308.0</v>
      </c>
      <c r="G13" s="83">
        <v>1227.563394</v>
      </c>
    </row>
    <row r="14" ht="22.5" customHeight="1">
      <c r="A14" s="82">
        <v>3.0</v>
      </c>
      <c r="B14" s="83">
        <v>1.0</v>
      </c>
      <c r="C14" s="84" t="s">
        <v>326</v>
      </c>
      <c r="D14" s="84" t="s">
        <v>327</v>
      </c>
      <c r="E14" s="83">
        <v>13.0</v>
      </c>
      <c r="F14" s="85">
        <v>45308.0</v>
      </c>
      <c r="G14" s="83">
        <v>690.1675131</v>
      </c>
    </row>
    <row r="15" ht="22.5" customHeight="1">
      <c r="A15" s="82">
        <v>3.0</v>
      </c>
      <c r="B15" s="83">
        <v>1.0</v>
      </c>
      <c r="C15" s="84" t="s">
        <v>328</v>
      </c>
      <c r="D15" s="86" t="s">
        <v>329</v>
      </c>
      <c r="E15" s="83">
        <v>14.0</v>
      </c>
      <c r="F15" s="85">
        <v>45308.0</v>
      </c>
      <c r="G15" s="83">
        <v>918.8302792</v>
      </c>
    </row>
    <row r="16" ht="22.5" customHeight="1">
      <c r="A16" s="82">
        <v>3.0</v>
      </c>
      <c r="B16" s="83">
        <v>1.0</v>
      </c>
      <c r="C16" s="84" t="s">
        <v>330</v>
      </c>
      <c r="D16" s="84" t="s">
        <v>331</v>
      </c>
      <c r="E16" s="83">
        <v>15.0</v>
      </c>
      <c r="F16" s="85">
        <v>45308.0</v>
      </c>
      <c r="G16" s="83">
        <v>1222.650684</v>
      </c>
    </row>
    <row r="17" ht="22.5" customHeight="1">
      <c r="A17" s="82">
        <v>3.0</v>
      </c>
      <c r="B17" s="83">
        <v>2.0</v>
      </c>
      <c r="C17" s="84" t="s">
        <v>326</v>
      </c>
      <c r="D17" s="84" t="s">
        <v>327</v>
      </c>
      <c r="E17" s="83">
        <v>16.0</v>
      </c>
      <c r="F17" s="85">
        <v>45308.0</v>
      </c>
      <c r="G17" s="83">
        <v>574.104741</v>
      </c>
    </row>
    <row r="18" ht="22.5" customHeight="1">
      <c r="A18" s="82">
        <v>3.0</v>
      </c>
      <c r="B18" s="83">
        <v>2.0</v>
      </c>
      <c r="C18" s="84" t="s">
        <v>328</v>
      </c>
      <c r="D18" s="86" t="s">
        <v>329</v>
      </c>
      <c r="E18" s="83">
        <v>17.0</v>
      </c>
      <c r="F18" s="85">
        <v>45308.0</v>
      </c>
      <c r="G18" s="83">
        <v>779.8074114</v>
      </c>
    </row>
    <row r="19" ht="22.5" customHeight="1">
      <c r="A19" s="82">
        <v>3.0</v>
      </c>
      <c r="B19" s="83">
        <v>2.0</v>
      </c>
      <c r="C19" s="84" t="s">
        <v>330</v>
      </c>
      <c r="D19" s="84" t="s">
        <v>331</v>
      </c>
      <c r="E19" s="83">
        <v>18.0</v>
      </c>
      <c r="F19" s="85">
        <v>45308.0</v>
      </c>
      <c r="G19" s="83">
        <v>1061.554737</v>
      </c>
    </row>
    <row r="20" ht="22.5" customHeight="1">
      <c r="A20" s="82">
        <v>4.0</v>
      </c>
      <c r="B20" s="83">
        <v>1.0</v>
      </c>
      <c r="C20" s="84" t="s">
        <v>326</v>
      </c>
      <c r="D20" s="84" t="s">
        <v>327</v>
      </c>
      <c r="E20" s="83">
        <v>19.0</v>
      </c>
      <c r="F20" s="85">
        <v>45308.0</v>
      </c>
      <c r="G20" s="83">
        <v>1050.040574</v>
      </c>
    </row>
    <row r="21" ht="22.5" customHeight="1">
      <c r="A21" s="82">
        <v>4.0</v>
      </c>
      <c r="B21" s="83">
        <v>1.0</v>
      </c>
      <c r="C21" s="84" t="s">
        <v>328</v>
      </c>
      <c r="D21" s="86" t="s">
        <v>329</v>
      </c>
      <c r="E21" s="83">
        <v>20.0</v>
      </c>
      <c r="F21" s="85">
        <v>45308.0</v>
      </c>
      <c r="G21" s="83">
        <v>1372.215408</v>
      </c>
    </row>
    <row r="22" ht="22.5" customHeight="1">
      <c r="A22" s="82">
        <v>4.0</v>
      </c>
      <c r="B22" s="83">
        <v>1.0</v>
      </c>
      <c r="C22" s="84" t="s">
        <v>330</v>
      </c>
      <c r="D22" s="84" t="s">
        <v>331</v>
      </c>
      <c r="E22" s="83">
        <v>21.0</v>
      </c>
      <c r="F22" s="85">
        <v>45308.0</v>
      </c>
      <c r="G22" s="83">
        <v>1355.037982</v>
      </c>
    </row>
    <row r="23" ht="22.5" customHeight="1">
      <c r="A23" s="82">
        <v>4.0</v>
      </c>
      <c r="B23" s="83">
        <v>2.0</v>
      </c>
      <c r="C23" s="84" t="s">
        <v>326</v>
      </c>
      <c r="D23" s="84" t="s">
        <v>327</v>
      </c>
      <c r="E23" s="83">
        <v>22.0</v>
      </c>
      <c r="F23" s="85">
        <v>45308.0</v>
      </c>
      <c r="G23" s="83">
        <v>1076.78755</v>
      </c>
    </row>
    <row r="24" ht="22.5" customHeight="1">
      <c r="A24" s="82">
        <v>4.0</v>
      </c>
      <c r="B24" s="83">
        <v>2.0</v>
      </c>
      <c r="C24" s="84" t="s">
        <v>328</v>
      </c>
      <c r="D24" s="86" t="s">
        <v>329</v>
      </c>
      <c r="E24" s="83">
        <v>23.0</v>
      </c>
      <c r="F24" s="85">
        <v>45308.0</v>
      </c>
      <c r="G24" s="83">
        <v>1184.372486</v>
      </c>
    </row>
    <row r="25" ht="22.5" customHeight="1">
      <c r="A25" s="82">
        <v>4.0</v>
      </c>
      <c r="B25" s="83">
        <v>2.0</v>
      </c>
      <c r="C25" s="84" t="s">
        <v>330</v>
      </c>
      <c r="D25" s="84" t="s">
        <v>331</v>
      </c>
      <c r="E25" s="83">
        <v>24.0</v>
      </c>
      <c r="F25" s="85">
        <v>45308.0</v>
      </c>
      <c r="G25" s="83">
        <v>973.7912215</v>
      </c>
    </row>
    <row r="26" ht="22.5" customHeight="1">
      <c r="A26" s="82">
        <v>5.0</v>
      </c>
      <c r="B26" s="83">
        <v>1.0</v>
      </c>
      <c r="C26" s="84" t="s">
        <v>326</v>
      </c>
      <c r="D26" s="84" t="s">
        <v>327</v>
      </c>
      <c r="E26" s="83">
        <v>25.0</v>
      </c>
      <c r="F26" s="85">
        <v>45313.0</v>
      </c>
      <c r="G26" s="83">
        <v>1020.700778</v>
      </c>
    </row>
    <row r="27" ht="22.5" customHeight="1">
      <c r="A27" s="82">
        <v>5.0</v>
      </c>
      <c r="B27" s="83">
        <v>1.0</v>
      </c>
      <c r="C27" s="84" t="s">
        <v>328</v>
      </c>
      <c r="D27" s="86" t="s">
        <v>329</v>
      </c>
      <c r="E27" s="83">
        <v>26.0</v>
      </c>
      <c r="F27" s="85">
        <v>45313.0</v>
      </c>
      <c r="G27" s="83">
        <v>1100.549373</v>
      </c>
    </row>
    <row r="28" ht="22.5" customHeight="1">
      <c r="A28" s="82">
        <v>5.0</v>
      </c>
      <c r="B28" s="83">
        <v>1.0</v>
      </c>
      <c r="C28" s="84" t="s">
        <v>330</v>
      </c>
      <c r="D28" s="84" t="s">
        <v>331</v>
      </c>
      <c r="E28" s="83">
        <v>27.0</v>
      </c>
      <c r="F28" s="85">
        <v>45313.0</v>
      </c>
      <c r="G28" s="83">
        <v>1113.974035</v>
      </c>
    </row>
    <row r="29" ht="22.5" customHeight="1">
      <c r="A29" s="82">
        <v>5.0</v>
      </c>
      <c r="B29" s="83">
        <v>2.0</v>
      </c>
      <c r="C29" s="84" t="s">
        <v>326</v>
      </c>
      <c r="D29" s="84" t="s">
        <v>327</v>
      </c>
      <c r="E29" s="83">
        <v>28.0</v>
      </c>
      <c r="F29" s="85">
        <v>45313.0</v>
      </c>
      <c r="G29" s="83">
        <v>910.8812416</v>
      </c>
    </row>
    <row r="30" ht="22.5" customHeight="1">
      <c r="A30" s="82">
        <v>5.0</v>
      </c>
      <c r="B30" s="83">
        <v>2.0</v>
      </c>
      <c r="C30" s="84" t="s">
        <v>328</v>
      </c>
      <c r="D30" s="86" t="s">
        <v>329</v>
      </c>
      <c r="E30" s="83">
        <v>29.0</v>
      </c>
      <c r="F30" s="85">
        <v>45313.0</v>
      </c>
      <c r="G30" s="83">
        <v>1101.86284</v>
      </c>
    </row>
    <row r="31" ht="22.5" customHeight="1">
      <c r="A31" s="82">
        <v>5.0</v>
      </c>
      <c r="B31" s="83">
        <v>2.0</v>
      </c>
      <c r="C31" s="84" t="s">
        <v>330</v>
      </c>
      <c r="D31" s="84" t="s">
        <v>331</v>
      </c>
      <c r="E31" s="83">
        <v>30.0</v>
      </c>
      <c r="F31" s="85">
        <v>45313.0</v>
      </c>
      <c r="G31" s="83">
        <v>1214.275196</v>
      </c>
    </row>
    <row r="32" ht="22.5" customHeight="1">
      <c r="A32" s="82">
        <v>6.0</v>
      </c>
      <c r="B32" s="83">
        <v>1.0</v>
      </c>
      <c r="C32" s="84" t="s">
        <v>326</v>
      </c>
      <c r="D32" s="84" t="s">
        <v>327</v>
      </c>
      <c r="E32" s="83">
        <v>31.0</v>
      </c>
      <c r="F32" s="85">
        <v>45313.0</v>
      </c>
      <c r="G32" s="83">
        <v>974.7805867</v>
      </c>
    </row>
    <row r="33" ht="22.5" customHeight="1">
      <c r="A33" s="82">
        <v>6.0</v>
      </c>
      <c r="B33" s="83">
        <v>1.0</v>
      </c>
      <c r="C33" s="84" t="s">
        <v>328</v>
      </c>
      <c r="D33" s="86" t="s">
        <v>329</v>
      </c>
      <c r="E33" s="83">
        <v>32.0</v>
      </c>
      <c r="F33" s="85">
        <v>45313.0</v>
      </c>
      <c r="G33" s="83">
        <v>1164.278137</v>
      </c>
    </row>
    <row r="34" ht="22.5" customHeight="1">
      <c r="A34" s="82">
        <v>6.0</v>
      </c>
      <c r="B34" s="83">
        <v>1.0</v>
      </c>
      <c r="C34" s="84" t="s">
        <v>330</v>
      </c>
      <c r="D34" s="84" t="s">
        <v>331</v>
      </c>
      <c r="E34" s="83">
        <v>33.0</v>
      </c>
      <c r="F34" s="85">
        <v>45313.0</v>
      </c>
      <c r="G34" s="83">
        <v>1386.305334</v>
      </c>
    </row>
    <row r="35" ht="22.5" customHeight="1">
      <c r="A35" s="82">
        <v>6.0</v>
      </c>
      <c r="B35" s="83">
        <v>2.0</v>
      </c>
      <c r="C35" s="84" t="s">
        <v>326</v>
      </c>
      <c r="D35" s="84" t="s">
        <v>327</v>
      </c>
      <c r="E35" s="83">
        <v>34.0</v>
      </c>
      <c r="F35" s="85">
        <v>45313.0</v>
      </c>
      <c r="G35" s="83">
        <v>1005.058573</v>
      </c>
    </row>
    <row r="36" ht="22.5" customHeight="1">
      <c r="A36" s="82">
        <v>6.0</v>
      </c>
      <c r="B36" s="83">
        <v>2.0</v>
      </c>
      <c r="C36" s="84" t="s">
        <v>328</v>
      </c>
      <c r="D36" s="86" t="s">
        <v>329</v>
      </c>
      <c r="E36" s="83">
        <v>35.0</v>
      </c>
      <c r="F36" s="85">
        <v>45313.0</v>
      </c>
      <c r="G36" s="83">
        <v>1285.816534</v>
      </c>
    </row>
    <row r="37" ht="22.5" customHeight="1">
      <c r="A37" s="82">
        <v>6.0</v>
      </c>
      <c r="B37" s="83">
        <v>2.0</v>
      </c>
      <c r="C37" s="84" t="s">
        <v>330</v>
      </c>
      <c r="D37" s="84" t="s">
        <v>331</v>
      </c>
      <c r="E37" s="83">
        <v>36.0</v>
      </c>
      <c r="F37" s="85">
        <v>45313.0</v>
      </c>
      <c r="G37" s="83">
        <v>1334.755995</v>
      </c>
    </row>
    <row r="38" ht="22.5" customHeight="1">
      <c r="A38" s="82">
        <v>7.0</v>
      </c>
      <c r="B38" s="83">
        <v>1.0</v>
      </c>
      <c r="C38" s="84" t="s">
        <v>326</v>
      </c>
      <c r="D38" s="84" t="s">
        <v>327</v>
      </c>
      <c r="E38" s="83">
        <v>37.0</v>
      </c>
      <c r="F38" s="85">
        <v>45313.0</v>
      </c>
      <c r="G38" s="83">
        <v>857.404347</v>
      </c>
    </row>
    <row r="39" ht="22.5" customHeight="1">
      <c r="A39" s="82">
        <v>7.0</v>
      </c>
      <c r="B39" s="83">
        <v>1.0</v>
      </c>
      <c r="C39" s="84" t="s">
        <v>328</v>
      </c>
      <c r="D39" s="86" t="s">
        <v>329</v>
      </c>
      <c r="E39" s="83">
        <v>38.0</v>
      </c>
      <c r="F39" s="85">
        <v>45313.0</v>
      </c>
      <c r="G39" s="83">
        <v>1081.376157</v>
      </c>
    </row>
    <row r="40" ht="22.5" customHeight="1">
      <c r="A40" s="82">
        <v>7.0</v>
      </c>
      <c r="B40" s="83">
        <v>1.0</v>
      </c>
      <c r="C40" s="84" t="s">
        <v>330</v>
      </c>
      <c r="D40" s="84" t="s">
        <v>331</v>
      </c>
      <c r="E40" s="83">
        <v>39.0</v>
      </c>
      <c r="F40" s="85">
        <v>45313.0</v>
      </c>
      <c r="G40" s="83">
        <v>1337.468221</v>
      </c>
    </row>
    <row r="41" ht="22.5" customHeight="1">
      <c r="A41" s="93">
        <v>7.0</v>
      </c>
      <c r="B41" s="83">
        <v>2.0</v>
      </c>
      <c r="C41" s="84" t="s">
        <v>326</v>
      </c>
      <c r="D41" s="84" t="s">
        <v>327</v>
      </c>
      <c r="E41" s="83">
        <v>40.0</v>
      </c>
      <c r="F41" s="85">
        <v>45313.0</v>
      </c>
      <c r="G41" s="83">
        <v>956.4432146</v>
      </c>
    </row>
    <row r="42" ht="22.5" customHeight="1">
      <c r="A42" s="93">
        <v>7.0</v>
      </c>
      <c r="B42" s="83">
        <v>2.0</v>
      </c>
      <c r="C42" s="84" t="s">
        <v>328</v>
      </c>
      <c r="D42" s="86" t="s">
        <v>329</v>
      </c>
      <c r="E42" s="83">
        <v>41.0</v>
      </c>
      <c r="F42" s="85">
        <v>45313.0</v>
      </c>
      <c r="G42" s="83">
        <v>1061.196519</v>
      </c>
    </row>
    <row r="43" ht="22.5" customHeight="1">
      <c r="A43" s="93">
        <v>7.0</v>
      </c>
      <c r="B43" s="83">
        <v>2.0</v>
      </c>
      <c r="C43" s="84" t="s">
        <v>330</v>
      </c>
      <c r="D43" s="84" t="s">
        <v>331</v>
      </c>
      <c r="E43" s="83">
        <v>42.0</v>
      </c>
      <c r="F43" s="85">
        <v>45313.0</v>
      </c>
      <c r="G43" s="83">
        <v>1220.450199</v>
      </c>
    </row>
    <row r="44" ht="22.5" customHeight="1">
      <c r="A44" s="82">
        <v>8.0</v>
      </c>
      <c r="B44" s="83">
        <v>1.0</v>
      </c>
      <c r="C44" s="84" t="s">
        <v>326</v>
      </c>
      <c r="D44" s="84" t="s">
        <v>327</v>
      </c>
      <c r="E44" s="83">
        <v>43.0</v>
      </c>
      <c r="F44" s="85">
        <v>45308.0</v>
      </c>
      <c r="G44" s="83">
        <v>966.3880406</v>
      </c>
    </row>
    <row r="45" ht="22.5" customHeight="1">
      <c r="A45" s="82">
        <v>8.0</v>
      </c>
      <c r="B45" s="83">
        <v>1.0</v>
      </c>
      <c r="C45" s="84" t="s">
        <v>328</v>
      </c>
      <c r="D45" s="86" t="s">
        <v>329</v>
      </c>
      <c r="E45" s="83">
        <v>44.0</v>
      </c>
      <c r="F45" s="85">
        <v>45308.0</v>
      </c>
      <c r="G45" s="83">
        <v>1253.593933</v>
      </c>
    </row>
    <row r="46" ht="22.5" customHeight="1">
      <c r="A46" s="82">
        <v>8.0</v>
      </c>
      <c r="B46" s="83">
        <v>1.0</v>
      </c>
      <c r="C46" s="84" t="s">
        <v>330</v>
      </c>
      <c r="D46" s="84" t="s">
        <v>331</v>
      </c>
      <c r="E46" s="83">
        <v>45.0</v>
      </c>
      <c r="F46" s="85">
        <v>45308.0</v>
      </c>
      <c r="G46" s="83">
        <v>1442.102119</v>
      </c>
    </row>
    <row r="47" ht="22.5" customHeight="1">
      <c r="A47" s="82">
        <v>8.0</v>
      </c>
      <c r="B47" s="83">
        <v>2.0</v>
      </c>
      <c r="C47" s="84" t="s">
        <v>326</v>
      </c>
      <c r="D47" s="84" t="s">
        <v>327</v>
      </c>
      <c r="E47" s="83">
        <v>46.0</v>
      </c>
      <c r="F47" s="85">
        <v>45308.0</v>
      </c>
      <c r="G47" s="83">
        <v>918.3355966</v>
      </c>
    </row>
    <row r="48" ht="22.5" customHeight="1">
      <c r="A48" s="82">
        <v>8.0</v>
      </c>
      <c r="B48" s="83">
        <v>2.0</v>
      </c>
      <c r="C48" s="84" t="s">
        <v>328</v>
      </c>
      <c r="D48" s="86" t="s">
        <v>329</v>
      </c>
      <c r="E48" s="83">
        <v>47.0</v>
      </c>
      <c r="F48" s="85">
        <v>45308.0</v>
      </c>
      <c r="G48" s="83">
        <v>1091.713318</v>
      </c>
    </row>
    <row r="49" ht="22.5" customHeight="1">
      <c r="A49" s="82">
        <v>8.0</v>
      </c>
      <c r="B49" s="83">
        <v>2.0</v>
      </c>
      <c r="C49" s="84" t="s">
        <v>330</v>
      </c>
      <c r="D49" s="84" t="s">
        <v>331</v>
      </c>
      <c r="E49" s="83">
        <v>48.0</v>
      </c>
      <c r="F49" s="85">
        <v>45308.0</v>
      </c>
      <c r="G49" s="83">
        <v>1163.459352</v>
      </c>
    </row>
    <row r="50" ht="22.5" customHeight="1">
      <c r="A50" s="82">
        <v>9.0</v>
      </c>
      <c r="B50" s="83">
        <v>1.0</v>
      </c>
      <c r="C50" s="84" t="s">
        <v>326</v>
      </c>
      <c r="D50" s="84" t="s">
        <v>327</v>
      </c>
      <c r="E50" s="83">
        <v>49.0</v>
      </c>
      <c r="F50" s="85">
        <v>45308.0</v>
      </c>
      <c r="G50" s="83">
        <v>933.2443066</v>
      </c>
    </row>
    <row r="51" ht="22.5" customHeight="1">
      <c r="A51" s="82">
        <v>9.0</v>
      </c>
      <c r="B51" s="83">
        <v>1.0</v>
      </c>
      <c r="C51" s="84" t="s">
        <v>328</v>
      </c>
      <c r="D51" s="86" t="s">
        <v>329</v>
      </c>
      <c r="E51" s="83">
        <v>50.0</v>
      </c>
      <c r="F51" s="85">
        <v>45308.0</v>
      </c>
      <c r="G51" s="83">
        <v>1105.359734</v>
      </c>
    </row>
    <row r="52" ht="22.5" customHeight="1">
      <c r="A52" s="82">
        <v>9.0</v>
      </c>
      <c r="B52" s="83">
        <v>1.0</v>
      </c>
      <c r="C52" s="84" t="s">
        <v>330</v>
      </c>
      <c r="D52" s="84" t="s">
        <v>331</v>
      </c>
      <c r="E52" s="83">
        <v>51.0</v>
      </c>
      <c r="F52" s="85">
        <v>45308.0</v>
      </c>
      <c r="G52" s="83">
        <v>1283.001961</v>
      </c>
    </row>
    <row r="53" ht="22.5" customHeight="1">
      <c r="A53" s="82">
        <v>9.0</v>
      </c>
      <c r="B53" s="83">
        <v>2.0</v>
      </c>
      <c r="C53" s="84" t="s">
        <v>326</v>
      </c>
      <c r="D53" s="84" t="s">
        <v>327</v>
      </c>
      <c r="E53" s="83">
        <v>52.0</v>
      </c>
      <c r="F53" s="85">
        <v>45308.0</v>
      </c>
      <c r="G53" s="83">
        <v>926.932839</v>
      </c>
    </row>
    <row r="54" ht="22.5" customHeight="1">
      <c r="A54" s="82">
        <v>9.0</v>
      </c>
      <c r="B54" s="83">
        <v>2.0</v>
      </c>
      <c r="C54" s="84" t="s">
        <v>328</v>
      </c>
      <c r="D54" s="86" t="s">
        <v>329</v>
      </c>
      <c r="E54" s="83">
        <v>53.0</v>
      </c>
      <c r="F54" s="85">
        <v>45308.0</v>
      </c>
      <c r="G54" s="83">
        <v>1150.887591</v>
      </c>
    </row>
    <row r="55" ht="22.5" customHeight="1">
      <c r="A55" s="82">
        <v>9.0</v>
      </c>
      <c r="B55" s="83">
        <v>2.0</v>
      </c>
      <c r="C55" s="84" t="s">
        <v>330</v>
      </c>
      <c r="D55" s="84" t="s">
        <v>331</v>
      </c>
      <c r="E55" s="83">
        <v>54.0</v>
      </c>
      <c r="F55" s="85">
        <v>45308.0</v>
      </c>
      <c r="G55" s="83">
        <v>1246.924247</v>
      </c>
    </row>
    <row r="56" ht="22.5" customHeight="1">
      <c r="A56" s="82">
        <v>10.0</v>
      </c>
      <c r="B56" s="83">
        <v>1.0</v>
      </c>
      <c r="C56" s="84" t="s">
        <v>326</v>
      </c>
      <c r="D56" s="84" t="s">
        <v>327</v>
      </c>
      <c r="E56" s="83">
        <v>55.0</v>
      </c>
      <c r="F56" s="85">
        <v>45313.0</v>
      </c>
      <c r="G56" s="83">
        <v>730.3050356</v>
      </c>
    </row>
    <row r="57" ht="22.5" customHeight="1">
      <c r="A57" s="82">
        <v>10.0</v>
      </c>
      <c r="B57" s="83">
        <v>1.0</v>
      </c>
      <c r="C57" s="84" t="s">
        <v>328</v>
      </c>
      <c r="D57" s="86" t="s">
        <v>329</v>
      </c>
      <c r="E57" s="83">
        <v>56.0</v>
      </c>
      <c r="F57" s="85">
        <v>45313.0</v>
      </c>
      <c r="G57" s="83">
        <v>1213.0640760000001</v>
      </c>
    </row>
    <row r="58" ht="22.5" customHeight="1">
      <c r="A58" s="82">
        <v>10.0</v>
      </c>
      <c r="B58" s="83">
        <v>1.0</v>
      </c>
      <c r="C58" s="84" t="s">
        <v>330</v>
      </c>
      <c r="D58" s="84" t="s">
        <v>331</v>
      </c>
      <c r="E58" s="83">
        <v>57.0</v>
      </c>
      <c r="F58" s="85">
        <v>45313.0</v>
      </c>
      <c r="G58" s="83">
        <v>1318.806746</v>
      </c>
    </row>
    <row r="59" ht="22.5" customHeight="1">
      <c r="A59" s="82">
        <v>10.0</v>
      </c>
      <c r="B59" s="83">
        <v>2.0</v>
      </c>
      <c r="C59" s="84" t="s">
        <v>326</v>
      </c>
      <c r="D59" s="84" t="s">
        <v>327</v>
      </c>
      <c r="E59" s="83">
        <v>58.0</v>
      </c>
      <c r="F59" s="85">
        <v>45313.0</v>
      </c>
      <c r="G59" s="83">
        <v>734.0407421</v>
      </c>
    </row>
    <row r="60" ht="22.5" customHeight="1">
      <c r="A60" s="82">
        <v>10.0</v>
      </c>
      <c r="B60" s="83">
        <v>2.0</v>
      </c>
      <c r="C60" s="84" t="s">
        <v>328</v>
      </c>
      <c r="D60" s="86" t="s">
        <v>329</v>
      </c>
      <c r="E60" s="83">
        <v>59.0</v>
      </c>
      <c r="F60" s="85">
        <v>45313.0</v>
      </c>
      <c r="G60" s="83">
        <v>913.8834532</v>
      </c>
    </row>
    <row r="61" ht="22.5" customHeight="1">
      <c r="A61" s="82">
        <v>10.0</v>
      </c>
      <c r="B61" s="83">
        <v>2.0</v>
      </c>
      <c r="C61" s="84" t="s">
        <v>330</v>
      </c>
      <c r="D61" s="84" t="s">
        <v>331</v>
      </c>
      <c r="E61" s="83">
        <v>60.0</v>
      </c>
      <c r="F61" s="85">
        <v>45313.0</v>
      </c>
      <c r="G61" s="83">
        <v>1217.072711</v>
      </c>
    </row>
    <row r="62" ht="22.5" customHeight="1">
      <c r="A62" s="82">
        <v>11.0</v>
      </c>
      <c r="B62" s="83">
        <v>1.0</v>
      </c>
      <c r="C62" s="84" t="s">
        <v>326</v>
      </c>
      <c r="D62" s="84" t="s">
        <v>327</v>
      </c>
      <c r="E62" s="83">
        <v>61.0</v>
      </c>
      <c r="F62" s="85">
        <v>45313.0</v>
      </c>
      <c r="G62" s="83">
        <v>850.5981968</v>
      </c>
    </row>
    <row r="63" ht="22.5" customHeight="1">
      <c r="A63" s="82">
        <v>11.0</v>
      </c>
      <c r="B63" s="83">
        <v>1.0</v>
      </c>
      <c r="C63" s="84" t="s">
        <v>328</v>
      </c>
      <c r="D63" s="86" t="s">
        <v>329</v>
      </c>
      <c r="E63" s="83">
        <v>62.0</v>
      </c>
      <c r="F63" s="85">
        <v>45313.0</v>
      </c>
      <c r="G63" s="83">
        <v>1240.78336</v>
      </c>
    </row>
    <row r="64" ht="22.5" customHeight="1">
      <c r="A64" s="82">
        <v>11.0</v>
      </c>
      <c r="B64" s="83">
        <v>1.0</v>
      </c>
      <c r="C64" s="84" t="s">
        <v>330</v>
      </c>
      <c r="D64" s="84" t="s">
        <v>331</v>
      </c>
      <c r="E64" s="83">
        <v>63.0</v>
      </c>
      <c r="F64" s="85">
        <v>45313.0</v>
      </c>
      <c r="G64" s="83">
        <v>1152.320465</v>
      </c>
    </row>
    <row r="65" ht="22.5" customHeight="1">
      <c r="A65" s="82">
        <v>11.0</v>
      </c>
      <c r="B65" s="83">
        <v>2.0</v>
      </c>
      <c r="C65" s="84" t="s">
        <v>326</v>
      </c>
      <c r="D65" s="84" t="s">
        <v>327</v>
      </c>
      <c r="E65" s="83">
        <v>64.0</v>
      </c>
      <c r="F65" s="85">
        <v>45313.0</v>
      </c>
      <c r="G65" s="83">
        <v>951.4281565</v>
      </c>
    </row>
    <row r="66" ht="22.5" customHeight="1">
      <c r="A66" s="82">
        <v>11.0</v>
      </c>
      <c r="B66" s="83">
        <v>2.0</v>
      </c>
      <c r="C66" s="84" t="s">
        <v>328</v>
      </c>
      <c r="D66" s="86" t="s">
        <v>329</v>
      </c>
      <c r="E66" s="83">
        <v>65.0</v>
      </c>
      <c r="F66" s="85">
        <v>45313.0</v>
      </c>
      <c r="G66" s="83">
        <v>1160.286561</v>
      </c>
    </row>
    <row r="67" ht="22.5" customHeight="1">
      <c r="A67" s="82">
        <v>11.0</v>
      </c>
      <c r="B67" s="83">
        <v>2.0</v>
      </c>
      <c r="C67" s="84" t="s">
        <v>330</v>
      </c>
      <c r="D67" s="84" t="s">
        <v>331</v>
      </c>
      <c r="E67" s="83">
        <v>66.0</v>
      </c>
      <c r="F67" s="85">
        <v>45313.0</v>
      </c>
      <c r="G67" s="83">
        <v>1164.551066</v>
      </c>
    </row>
    <row r="68" ht="22.5" customHeight="1">
      <c r="A68" s="82">
        <v>12.0</v>
      </c>
      <c r="B68" s="83">
        <v>1.0</v>
      </c>
      <c r="C68" s="84" t="s">
        <v>326</v>
      </c>
      <c r="D68" s="84" t="s">
        <v>327</v>
      </c>
      <c r="E68" s="83">
        <v>67.0</v>
      </c>
      <c r="F68" s="85">
        <v>45313.0</v>
      </c>
      <c r="G68" s="83">
        <v>837.2076506</v>
      </c>
    </row>
    <row r="69" ht="22.5" customHeight="1">
      <c r="A69" s="82">
        <v>12.0</v>
      </c>
      <c r="B69" s="83">
        <v>1.0</v>
      </c>
      <c r="C69" s="84" t="s">
        <v>328</v>
      </c>
      <c r="D69" s="86" t="s">
        <v>329</v>
      </c>
      <c r="E69" s="83">
        <v>68.0</v>
      </c>
      <c r="F69" s="85">
        <v>45313.0</v>
      </c>
      <c r="G69" s="83">
        <v>1203.938035</v>
      </c>
    </row>
    <row r="70" ht="22.5" customHeight="1">
      <c r="A70" s="82">
        <v>12.0</v>
      </c>
      <c r="B70" s="83">
        <v>1.0</v>
      </c>
      <c r="C70" s="84" t="s">
        <v>330</v>
      </c>
      <c r="D70" s="84" t="s">
        <v>331</v>
      </c>
      <c r="E70" s="83">
        <v>69.0</v>
      </c>
      <c r="F70" s="85">
        <v>45313.0</v>
      </c>
      <c r="G70" s="83">
        <v>1428.097484</v>
      </c>
    </row>
    <row r="71" ht="22.5" customHeight="1">
      <c r="A71" s="82">
        <v>12.0</v>
      </c>
      <c r="B71" s="83">
        <v>2.0</v>
      </c>
      <c r="C71" s="84" t="s">
        <v>326</v>
      </c>
      <c r="D71" s="84" t="s">
        <v>327</v>
      </c>
      <c r="E71" s="83">
        <v>70.0</v>
      </c>
      <c r="F71" s="85">
        <v>45313.0</v>
      </c>
      <c r="G71" s="83">
        <v>954.259788</v>
      </c>
    </row>
    <row r="72" ht="22.5" customHeight="1">
      <c r="A72" s="82">
        <v>12.0</v>
      </c>
      <c r="B72" s="83">
        <v>2.0</v>
      </c>
      <c r="C72" s="84" t="s">
        <v>328</v>
      </c>
      <c r="D72" s="86" t="s">
        <v>329</v>
      </c>
      <c r="E72" s="83">
        <v>71.0</v>
      </c>
      <c r="F72" s="85">
        <v>45313.0</v>
      </c>
      <c r="G72" s="83">
        <v>1230.002691</v>
      </c>
    </row>
    <row r="73" ht="22.5" customHeight="1">
      <c r="A73" s="82">
        <v>12.0</v>
      </c>
      <c r="B73" s="83">
        <v>2.0</v>
      </c>
      <c r="C73" s="84" t="s">
        <v>330</v>
      </c>
      <c r="D73" s="84" t="s">
        <v>331</v>
      </c>
      <c r="E73" s="83">
        <v>72.0</v>
      </c>
      <c r="F73" s="85">
        <v>45313.0</v>
      </c>
      <c r="G73" s="83">
        <v>1348.146541</v>
      </c>
    </row>
    <row r="74" ht="22.5" customHeight="1">
      <c r="A74" s="82">
        <v>13.0</v>
      </c>
      <c r="B74" s="83">
        <v>1.0</v>
      </c>
      <c r="C74" s="84" t="s">
        <v>326</v>
      </c>
      <c r="D74" s="84" t="s">
        <v>327</v>
      </c>
      <c r="E74" s="83">
        <v>73.0</v>
      </c>
      <c r="F74" s="85">
        <v>45313.0</v>
      </c>
      <c r="G74" s="83">
        <v>1025.306444</v>
      </c>
    </row>
    <row r="75" ht="22.5" customHeight="1">
      <c r="A75" s="82">
        <v>13.0</v>
      </c>
      <c r="B75" s="83">
        <v>1.0</v>
      </c>
      <c r="C75" s="84" t="s">
        <v>328</v>
      </c>
      <c r="D75" s="86" t="s">
        <v>329</v>
      </c>
      <c r="E75" s="83">
        <v>74.0</v>
      </c>
      <c r="F75" s="85">
        <v>45313.0</v>
      </c>
      <c r="G75" s="83">
        <v>1230.838534</v>
      </c>
    </row>
    <row r="76" ht="22.5" customHeight="1">
      <c r="A76" s="82">
        <v>13.0</v>
      </c>
      <c r="B76" s="83">
        <v>1.0</v>
      </c>
      <c r="C76" s="84" t="s">
        <v>330</v>
      </c>
      <c r="D76" s="84" t="s">
        <v>331</v>
      </c>
      <c r="E76" s="83">
        <v>75.0</v>
      </c>
      <c r="F76" s="85">
        <v>45313.0</v>
      </c>
      <c r="G76" s="83">
        <v>1286.737667</v>
      </c>
    </row>
    <row r="77" ht="22.5" customHeight="1">
      <c r="A77" s="82">
        <v>13.0</v>
      </c>
      <c r="B77" s="83">
        <v>2.0</v>
      </c>
      <c r="C77" s="84" t="s">
        <v>326</v>
      </c>
      <c r="D77" s="84" t="s">
        <v>327</v>
      </c>
      <c r="E77" s="83">
        <v>76.0</v>
      </c>
      <c r="F77" s="85">
        <v>45313.0</v>
      </c>
      <c r="G77" s="83">
        <v>1060.190096</v>
      </c>
    </row>
    <row r="78" ht="22.5" customHeight="1">
      <c r="A78" s="82">
        <v>13.0</v>
      </c>
      <c r="B78" s="83">
        <v>2.0</v>
      </c>
      <c r="C78" s="84" t="s">
        <v>328</v>
      </c>
      <c r="D78" s="86" t="s">
        <v>329</v>
      </c>
      <c r="E78" s="83">
        <v>77.0</v>
      </c>
      <c r="F78" s="85">
        <v>45313.0</v>
      </c>
      <c r="G78" s="83">
        <v>1256.016172</v>
      </c>
    </row>
    <row r="79" ht="22.5" customHeight="1">
      <c r="A79" s="82">
        <v>13.0</v>
      </c>
      <c r="B79" s="83">
        <v>2.0</v>
      </c>
      <c r="C79" s="84" t="s">
        <v>330</v>
      </c>
      <c r="D79" s="84" t="s">
        <v>331</v>
      </c>
      <c r="E79" s="83">
        <v>78.0</v>
      </c>
      <c r="F79" s="85">
        <v>45313.0</v>
      </c>
      <c r="G79" s="83">
        <v>1113.66699</v>
      </c>
    </row>
    <row r="80" ht="22.5" customHeight="1">
      <c r="A80" s="82">
        <v>14.0</v>
      </c>
      <c r="B80" s="83">
        <v>1.0</v>
      </c>
      <c r="C80" s="84" t="s">
        <v>326</v>
      </c>
      <c r="D80" s="84" t="s">
        <v>327</v>
      </c>
      <c r="E80" s="83">
        <v>79.0</v>
      </c>
      <c r="F80" s="85">
        <v>45308.0</v>
      </c>
      <c r="G80" s="83">
        <v>693.2720729</v>
      </c>
    </row>
    <row r="81" ht="22.5" customHeight="1">
      <c r="A81" s="82">
        <v>14.0</v>
      </c>
      <c r="B81" s="83">
        <v>1.0</v>
      </c>
      <c r="C81" s="84" t="s">
        <v>328</v>
      </c>
      <c r="D81" s="86" t="s">
        <v>329</v>
      </c>
      <c r="E81" s="83">
        <v>80.0</v>
      </c>
      <c r="F81" s="85">
        <v>45308.0</v>
      </c>
      <c r="G81" s="83">
        <v>997.0071876</v>
      </c>
    </row>
    <row r="82" ht="22.5" customHeight="1">
      <c r="A82" s="82">
        <v>14.0</v>
      </c>
      <c r="B82" s="83">
        <v>1.0</v>
      </c>
      <c r="C82" s="84" t="s">
        <v>330</v>
      </c>
      <c r="D82" s="84" t="s">
        <v>331</v>
      </c>
      <c r="E82" s="83">
        <v>81.0</v>
      </c>
      <c r="F82" s="85">
        <v>45308.0</v>
      </c>
      <c r="G82" s="83">
        <v>1137.957612</v>
      </c>
    </row>
    <row r="83" ht="22.5" customHeight="1">
      <c r="A83" s="93">
        <v>14.0</v>
      </c>
      <c r="B83" s="83">
        <v>2.0</v>
      </c>
      <c r="C83" s="84" t="s">
        <v>326</v>
      </c>
      <c r="D83" s="84" t="s">
        <v>327</v>
      </c>
      <c r="E83" s="83">
        <v>82.0</v>
      </c>
      <c r="F83" s="85">
        <v>45308.0</v>
      </c>
      <c r="G83" s="83">
        <v>584.5783657</v>
      </c>
    </row>
    <row r="84" ht="22.5" customHeight="1">
      <c r="A84" s="93">
        <v>14.0</v>
      </c>
      <c r="B84" s="83">
        <v>2.0</v>
      </c>
      <c r="C84" s="84" t="s">
        <v>328</v>
      </c>
      <c r="D84" s="86" t="s">
        <v>329</v>
      </c>
      <c r="E84" s="83">
        <v>83.0</v>
      </c>
      <c r="F84" s="85">
        <v>45308.0</v>
      </c>
      <c r="G84" s="83">
        <v>888.3134803</v>
      </c>
    </row>
    <row r="85" ht="22.5" customHeight="1">
      <c r="A85" s="93">
        <v>14.0</v>
      </c>
      <c r="B85" s="83">
        <v>2.0</v>
      </c>
      <c r="C85" s="84" t="s">
        <v>330</v>
      </c>
      <c r="D85" s="84" t="s">
        <v>331</v>
      </c>
      <c r="E85" s="83">
        <v>84.0</v>
      </c>
      <c r="F85" s="85">
        <v>45308.0</v>
      </c>
      <c r="G85" s="83">
        <v>1342.312698</v>
      </c>
    </row>
    <row r="86" ht="22.5" customHeight="1">
      <c r="A86" s="82">
        <v>15.0</v>
      </c>
      <c r="B86" s="83">
        <v>1.0</v>
      </c>
      <c r="C86" s="84" t="s">
        <v>326</v>
      </c>
      <c r="D86" s="84" t="s">
        <v>327</v>
      </c>
      <c r="E86" s="83">
        <v>85.0</v>
      </c>
      <c r="F86" s="85">
        <v>45308.0</v>
      </c>
      <c r="G86" s="83">
        <v>758.9113361</v>
      </c>
    </row>
    <row r="87" ht="22.5" customHeight="1">
      <c r="A87" s="82">
        <v>15.0</v>
      </c>
      <c r="B87" s="83">
        <v>1.0</v>
      </c>
      <c r="C87" s="84" t="s">
        <v>328</v>
      </c>
      <c r="D87" s="86" t="s">
        <v>329</v>
      </c>
      <c r="E87" s="83">
        <v>86.0</v>
      </c>
      <c r="F87" s="85">
        <v>45308.0</v>
      </c>
      <c r="G87" s="83">
        <v>953.0145524</v>
      </c>
    </row>
    <row r="88" ht="22.5" customHeight="1">
      <c r="A88" s="82">
        <v>15.0</v>
      </c>
      <c r="B88" s="83">
        <v>1.0</v>
      </c>
      <c r="C88" s="84" t="s">
        <v>330</v>
      </c>
      <c r="D88" s="84" t="s">
        <v>331</v>
      </c>
      <c r="E88" s="83">
        <v>87.0</v>
      </c>
      <c r="F88" s="85">
        <v>45308.0</v>
      </c>
      <c r="G88" s="83">
        <v>993.8855698</v>
      </c>
    </row>
    <row r="89" ht="22.5" customHeight="1">
      <c r="A89" s="82">
        <v>15.0</v>
      </c>
      <c r="B89" s="83">
        <v>2.0</v>
      </c>
      <c r="C89" s="84" t="s">
        <v>326</v>
      </c>
      <c r="D89" s="84" t="s">
        <v>327</v>
      </c>
      <c r="E89" s="83">
        <v>88.0</v>
      </c>
      <c r="F89" s="85">
        <v>45308.0</v>
      </c>
      <c r="G89" s="83">
        <v>746.1007627</v>
      </c>
    </row>
    <row r="90" ht="22.5" customHeight="1">
      <c r="A90" s="82">
        <v>15.0</v>
      </c>
      <c r="B90" s="83">
        <v>2.0</v>
      </c>
      <c r="C90" s="84" t="s">
        <v>328</v>
      </c>
      <c r="D90" s="86" t="s">
        <v>329</v>
      </c>
      <c r="E90" s="83">
        <v>89.0</v>
      </c>
      <c r="F90" s="85">
        <v>45308.0</v>
      </c>
      <c r="G90" s="83">
        <v>993.7320476</v>
      </c>
    </row>
    <row r="91" ht="22.5" customHeight="1">
      <c r="A91" s="82">
        <v>15.0</v>
      </c>
      <c r="B91" s="83">
        <v>2.0</v>
      </c>
      <c r="C91" s="84" t="s">
        <v>330</v>
      </c>
      <c r="D91" s="84" t="s">
        <v>331</v>
      </c>
      <c r="E91" s="83">
        <v>90.0</v>
      </c>
      <c r="F91" s="85">
        <v>45308.0</v>
      </c>
      <c r="G91" s="83">
        <v>1211.528855</v>
      </c>
    </row>
    <row r="92" ht="22.5" customHeight="1">
      <c r="A92" s="82">
        <v>16.0</v>
      </c>
      <c r="B92" s="83">
        <v>1.0</v>
      </c>
      <c r="C92" s="84" t="s">
        <v>326</v>
      </c>
      <c r="D92" s="84" t="s">
        <v>327</v>
      </c>
      <c r="E92" s="83">
        <v>91.0</v>
      </c>
      <c r="F92" s="85">
        <v>45309.0</v>
      </c>
      <c r="G92" s="83">
        <v>701.2893426</v>
      </c>
    </row>
    <row r="93" ht="22.5" customHeight="1">
      <c r="A93" s="82">
        <v>16.0</v>
      </c>
      <c r="B93" s="83">
        <v>1.0</v>
      </c>
      <c r="C93" s="84" t="s">
        <v>328</v>
      </c>
      <c r="D93" s="86" t="s">
        <v>329</v>
      </c>
      <c r="E93" s="83">
        <v>92.0</v>
      </c>
      <c r="F93" s="85">
        <v>45309.0</v>
      </c>
      <c r="G93" s="83">
        <v>1115.270444</v>
      </c>
    </row>
    <row r="94" ht="22.5" customHeight="1">
      <c r="A94" s="82">
        <v>16.0</v>
      </c>
      <c r="B94" s="83">
        <v>1.0</v>
      </c>
      <c r="C94" s="84" t="s">
        <v>330</v>
      </c>
      <c r="D94" s="84" t="s">
        <v>331</v>
      </c>
      <c r="E94" s="83">
        <v>93.0</v>
      </c>
      <c r="F94" s="85">
        <v>45309.0</v>
      </c>
      <c r="G94" s="83">
        <v>1304.392719</v>
      </c>
    </row>
    <row r="95" ht="22.5" customHeight="1">
      <c r="A95" s="82">
        <v>16.0</v>
      </c>
      <c r="B95" s="83">
        <v>2.0</v>
      </c>
      <c r="C95" s="84" t="s">
        <v>326</v>
      </c>
      <c r="D95" s="84" t="s">
        <v>327</v>
      </c>
      <c r="E95" s="83">
        <v>94.0</v>
      </c>
      <c r="F95" s="85">
        <v>45309.0</v>
      </c>
      <c r="G95" s="83">
        <v>735.1324554</v>
      </c>
    </row>
    <row r="96" ht="22.5" customHeight="1">
      <c r="A96" s="82">
        <v>16.0</v>
      </c>
      <c r="B96" s="83">
        <v>2.0</v>
      </c>
      <c r="C96" s="84" t="s">
        <v>328</v>
      </c>
      <c r="D96" s="86" t="s">
        <v>329</v>
      </c>
      <c r="E96" s="83">
        <v>95.0</v>
      </c>
      <c r="F96" s="85">
        <v>45309.0</v>
      </c>
      <c r="G96" s="83">
        <v>1051.96813</v>
      </c>
    </row>
    <row r="97" ht="22.5" customHeight="1">
      <c r="A97" s="82">
        <v>16.0</v>
      </c>
      <c r="B97" s="83">
        <v>2.0</v>
      </c>
      <c r="C97" s="84" t="s">
        <v>330</v>
      </c>
      <c r="D97" s="84" t="s">
        <v>331</v>
      </c>
      <c r="E97" s="83">
        <v>96.0</v>
      </c>
      <c r="F97" s="85">
        <v>45309.0</v>
      </c>
      <c r="G97" s="83">
        <v>1240.032807</v>
      </c>
    </row>
    <row r="98" ht="22.5" customHeight="1">
      <c r="A98" s="82">
        <v>17.0</v>
      </c>
      <c r="B98" s="83">
        <v>1.0</v>
      </c>
      <c r="C98" s="84" t="s">
        <v>326</v>
      </c>
      <c r="D98" s="84" t="s">
        <v>327</v>
      </c>
      <c r="E98" s="83">
        <v>97.0</v>
      </c>
      <c r="F98" s="85">
        <v>45309.0</v>
      </c>
      <c r="G98" s="83">
        <v>728.189841</v>
      </c>
    </row>
    <row r="99" ht="22.5" customHeight="1">
      <c r="A99" s="82">
        <v>17.0</v>
      </c>
      <c r="B99" s="83">
        <v>1.0</v>
      </c>
      <c r="C99" s="84" t="s">
        <v>328</v>
      </c>
      <c r="D99" s="86" t="s">
        <v>329</v>
      </c>
      <c r="E99" s="83">
        <v>98.0</v>
      </c>
      <c r="F99" s="85">
        <v>45309.0</v>
      </c>
      <c r="G99" s="83">
        <v>1019.250846</v>
      </c>
    </row>
    <row r="100" ht="22.5" customHeight="1">
      <c r="A100" s="82">
        <v>17.0</v>
      </c>
      <c r="B100" s="83">
        <v>1.0</v>
      </c>
      <c r="C100" s="84" t="s">
        <v>330</v>
      </c>
      <c r="D100" s="84" t="s">
        <v>331</v>
      </c>
      <c r="E100" s="83">
        <v>99.0</v>
      </c>
      <c r="F100" s="85">
        <v>45309.0</v>
      </c>
      <c r="G100" s="83">
        <v>1283.479585</v>
      </c>
    </row>
    <row r="101" ht="22.5" customHeight="1">
      <c r="A101" s="82">
        <v>17.0</v>
      </c>
      <c r="B101" s="83">
        <v>2.0</v>
      </c>
      <c r="C101" s="84" t="s">
        <v>326</v>
      </c>
      <c r="D101" s="84" t="s">
        <v>327</v>
      </c>
      <c r="E101" s="83">
        <v>100.0</v>
      </c>
      <c r="F101" s="85">
        <v>45309.0</v>
      </c>
      <c r="G101" s="83">
        <v>716.0104143</v>
      </c>
    </row>
    <row r="102" ht="22.5" customHeight="1">
      <c r="A102" s="82">
        <v>17.0</v>
      </c>
      <c r="B102" s="83">
        <v>2.0</v>
      </c>
      <c r="C102" s="84" t="s">
        <v>328</v>
      </c>
      <c r="D102" s="86" t="s">
        <v>329</v>
      </c>
      <c r="E102" s="83">
        <v>101.0</v>
      </c>
      <c r="F102" s="85">
        <v>45309.0</v>
      </c>
      <c r="G102" s="83">
        <v>905.3203269</v>
      </c>
    </row>
    <row r="103" ht="22.5" customHeight="1">
      <c r="A103" s="82">
        <v>17.0</v>
      </c>
      <c r="B103" s="83">
        <v>2.0</v>
      </c>
      <c r="C103" s="84" t="s">
        <v>330</v>
      </c>
      <c r="D103" s="84" t="s">
        <v>331</v>
      </c>
      <c r="E103" s="83">
        <v>102.0</v>
      </c>
      <c r="F103" s="85">
        <v>45309.0</v>
      </c>
      <c r="G103" s="83">
        <v>1107.969612</v>
      </c>
    </row>
    <row r="104" ht="22.5" customHeight="1">
      <c r="A104" s="82">
        <v>18.0</v>
      </c>
      <c r="B104" s="83">
        <v>1.0</v>
      </c>
      <c r="C104" s="84" t="s">
        <v>326</v>
      </c>
      <c r="D104" s="84" t="s">
        <v>327</v>
      </c>
      <c r="E104" s="83">
        <v>103.0</v>
      </c>
      <c r="F104" s="85">
        <v>45309.0</v>
      </c>
      <c r="G104" s="83">
        <v>582.3096489</v>
      </c>
    </row>
    <row r="105" ht="22.5" customHeight="1">
      <c r="A105" s="82">
        <v>18.0</v>
      </c>
      <c r="B105" s="83">
        <v>1.0</v>
      </c>
      <c r="C105" s="84" t="s">
        <v>328</v>
      </c>
      <c r="D105" s="86" t="s">
        <v>329</v>
      </c>
      <c r="E105" s="83">
        <v>104.0</v>
      </c>
      <c r="F105" s="85">
        <v>45309.0</v>
      </c>
      <c r="G105" s="83">
        <v>1068.548526</v>
      </c>
    </row>
    <row r="106" ht="22.5" customHeight="1">
      <c r="A106" s="82">
        <v>18.0</v>
      </c>
      <c r="B106" s="83">
        <v>1.0</v>
      </c>
      <c r="C106" s="84" t="s">
        <v>330</v>
      </c>
      <c r="D106" s="84" t="s">
        <v>331</v>
      </c>
      <c r="E106" s="83">
        <v>105.0</v>
      </c>
      <c r="F106" s="85">
        <v>45309.0</v>
      </c>
      <c r="G106" s="83">
        <v>1225.038807</v>
      </c>
    </row>
    <row r="107" ht="22.5" customHeight="1">
      <c r="A107" s="82">
        <v>18.0</v>
      </c>
      <c r="B107" s="83">
        <v>2.0</v>
      </c>
      <c r="C107" s="84" t="s">
        <v>326</v>
      </c>
      <c r="D107" s="84" t="s">
        <v>327</v>
      </c>
      <c r="E107" s="83">
        <v>106.0</v>
      </c>
      <c r="F107" s="85">
        <v>45309.0</v>
      </c>
      <c r="G107" s="83">
        <v>622.7030417</v>
      </c>
    </row>
    <row r="108" ht="22.5" customHeight="1">
      <c r="A108" s="82">
        <v>18.0</v>
      </c>
      <c r="B108" s="83">
        <v>2.0</v>
      </c>
      <c r="C108" s="84" t="s">
        <v>328</v>
      </c>
      <c r="D108" s="86" t="s">
        <v>329</v>
      </c>
      <c r="E108" s="83">
        <v>107.0</v>
      </c>
      <c r="F108" s="85">
        <v>45309.0</v>
      </c>
      <c r="G108" s="83">
        <v>872.7906816</v>
      </c>
    </row>
    <row r="109" ht="22.5" customHeight="1">
      <c r="A109" s="82">
        <v>18.0</v>
      </c>
      <c r="B109" s="83">
        <v>2.0</v>
      </c>
      <c r="C109" s="84" t="s">
        <v>330</v>
      </c>
      <c r="D109" s="84" t="s">
        <v>331</v>
      </c>
      <c r="E109" s="83">
        <v>108.0</v>
      </c>
      <c r="F109" s="85">
        <v>45309.0</v>
      </c>
      <c r="G109" s="83">
        <v>1105.462082</v>
      </c>
    </row>
    <row r="110" ht="22.5" customHeight="1">
      <c r="A110" s="82">
        <v>19.0</v>
      </c>
      <c r="B110" s="83">
        <v>1.0</v>
      </c>
      <c r="C110" s="84" t="s">
        <v>326</v>
      </c>
      <c r="D110" s="84" t="s">
        <v>327</v>
      </c>
      <c r="E110" s="83">
        <v>109.0</v>
      </c>
      <c r="F110" s="85">
        <v>45309.0</v>
      </c>
      <c r="G110" s="83">
        <v>803.7909883</v>
      </c>
    </row>
    <row r="111" ht="22.5" customHeight="1">
      <c r="A111" s="82">
        <v>19.0</v>
      </c>
      <c r="B111" s="83">
        <v>1.0</v>
      </c>
      <c r="C111" s="84" t="s">
        <v>328</v>
      </c>
      <c r="D111" s="86" t="s">
        <v>329</v>
      </c>
      <c r="E111" s="83">
        <v>110.0</v>
      </c>
      <c r="F111" s="85">
        <v>45309.0</v>
      </c>
      <c r="G111" s="83">
        <v>1052.718683</v>
      </c>
    </row>
    <row r="112" ht="22.5" customHeight="1">
      <c r="A112" s="82">
        <v>19.0</v>
      </c>
      <c r="B112" s="83">
        <v>1.0</v>
      </c>
      <c r="C112" s="84" t="s">
        <v>330</v>
      </c>
      <c r="D112" s="84" t="s">
        <v>331</v>
      </c>
      <c r="E112" s="83">
        <v>111.0</v>
      </c>
      <c r="F112" s="85">
        <v>45309.0</v>
      </c>
      <c r="G112" s="83">
        <v>1336.95648</v>
      </c>
    </row>
    <row r="113" ht="22.5" customHeight="1">
      <c r="A113" s="82">
        <v>19.0</v>
      </c>
      <c r="B113" s="83">
        <v>2.0</v>
      </c>
      <c r="C113" s="84" t="s">
        <v>326</v>
      </c>
      <c r="D113" s="84" t="s">
        <v>327</v>
      </c>
      <c r="E113" s="83">
        <v>112.0</v>
      </c>
      <c r="F113" s="85">
        <v>45309.0</v>
      </c>
      <c r="G113" s="83">
        <v>843.6555824</v>
      </c>
    </row>
    <row r="114" ht="22.5" customHeight="1">
      <c r="A114" s="82">
        <v>19.0</v>
      </c>
      <c r="B114" s="83">
        <v>2.0</v>
      </c>
      <c r="C114" s="84" t="s">
        <v>328</v>
      </c>
      <c r="D114" s="86" t="s">
        <v>329</v>
      </c>
      <c r="E114" s="83">
        <v>113.0</v>
      </c>
      <c r="F114" s="85">
        <v>45309.0</v>
      </c>
      <c r="G114" s="83">
        <v>1126.562854</v>
      </c>
    </row>
    <row r="115" ht="22.5" customHeight="1">
      <c r="A115" s="82">
        <v>19.0</v>
      </c>
      <c r="B115" s="83">
        <v>2.0</v>
      </c>
      <c r="C115" s="84" t="s">
        <v>330</v>
      </c>
      <c r="D115" s="84" t="s">
        <v>331</v>
      </c>
      <c r="E115" s="83">
        <v>114.0</v>
      </c>
      <c r="F115" s="85">
        <v>45309.0</v>
      </c>
      <c r="G115" s="83">
        <v>1234.506008</v>
      </c>
    </row>
    <row r="116" ht="22.5" customHeight="1">
      <c r="A116" s="82">
        <v>20.0</v>
      </c>
      <c r="B116" s="83">
        <v>1.0</v>
      </c>
      <c r="C116" s="84" t="s">
        <v>326</v>
      </c>
      <c r="D116" s="84" t="s">
        <v>327</v>
      </c>
      <c r="E116" s="83">
        <v>115.0</v>
      </c>
      <c r="F116" s="85">
        <v>45309.0</v>
      </c>
      <c r="G116" s="83">
        <v>716.6756771</v>
      </c>
    </row>
    <row r="117" ht="22.5" customHeight="1">
      <c r="A117" s="82">
        <v>20.0</v>
      </c>
      <c r="B117" s="83">
        <v>1.0</v>
      </c>
      <c r="C117" s="84" t="s">
        <v>328</v>
      </c>
      <c r="D117" s="86" t="s">
        <v>329</v>
      </c>
      <c r="E117" s="83">
        <v>116.0</v>
      </c>
      <c r="F117" s="85">
        <v>45309.0</v>
      </c>
      <c r="G117" s="83">
        <v>911.5806204</v>
      </c>
    </row>
    <row r="118" ht="22.5" customHeight="1">
      <c r="A118" s="82">
        <v>20.0</v>
      </c>
      <c r="B118" s="83">
        <v>1.0</v>
      </c>
      <c r="C118" s="84" t="s">
        <v>330</v>
      </c>
      <c r="D118" s="84" t="s">
        <v>331</v>
      </c>
      <c r="E118" s="83">
        <v>117.0</v>
      </c>
      <c r="F118" s="85">
        <v>45309.0</v>
      </c>
      <c r="G118" s="83">
        <v>1223.691223</v>
      </c>
    </row>
    <row r="119" ht="22.5" customHeight="1">
      <c r="A119" s="82">
        <v>20.0</v>
      </c>
      <c r="B119" s="83">
        <v>2.0</v>
      </c>
      <c r="C119" s="84" t="s">
        <v>326</v>
      </c>
      <c r="D119" s="84" t="s">
        <v>327</v>
      </c>
      <c r="E119" s="83">
        <v>118.0</v>
      </c>
      <c r="F119" s="85">
        <v>45309.0</v>
      </c>
      <c r="G119" s="83">
        <v>747.9600869</v>
      </c>
    </row>
    <row r="120" ht="22.5" customHeight="1">
      <c r="A120" s="82">
        <v>20.0</v>
      </c>
      <c r="B120" s="83">
        <v>2.0</v>
      </c>
      <c r="C120" s="84" t="s">
        <v>328</v>
      </c>
      <c r="D120" s="86" t="s">
        <v>329</v>
      </c>
      <c r="E120" s="83">
        <v>119.0</v>
      </c>
      <c r="F120" s="85">
        <v>45309.0</v>
      </c>
      <c r="G120" s="83">
        <v>1002.568102</v>
      </c>
    </row>
    <row r="121" ht="22.5" customHeight="1">
      <c r="A121" s="82">
        <v>20.0</v>
      </c>
      <c r="B121" s="83">
        <v>2.0</v>
      </c>
      <c r="C121" s="84" t="s">
        <v>330</v>
      </c>
      <c r="D121" s="84" t="s">
        <v>331</v>
      </c>
      <c r="E121" s="83">
        <v>120.0</v>
      </c>
      <c r="F121" s="85">
        <v>45309.0</v>
      </c>
      <c r="G121" s="83">
        <v>832.0390704</v>
      </c>
    </row>
    <row r="122" ht="22.5" customHeight="1">
      <c r="A122" s="82">
        <v>21.0</v>
      </c>
      <c r="B122" s="83">
        <v>1.0</v>
      </c>
      <c r="C122" s="84" t="s">
        <v>326</v>
      </c>
      <c r="D122" s="84" t="s">
        <v>327</v>
      </c>
      <c r="E122" s="83">
        <v>121.0</v>
      </c>
      <c r="F122" s="85">
        <v>45309.0</v>
      </c>
      <c r="G122" s="83">
        <v>625.5005571</v>
      </c>
    </row>
    <row r="123" ht="22.5" customHeight="1">
      <c r="A123" s="82">
        <v>21.0</v>
      </c>
      <c r="B123" s="83">
        <v>1.0</v>
      </c>
      <c r="C123" s="84" t="s">
        <v>328</v>
      </c>
      <c r="D123" s="86" t="s">
        <v>329</v>
      </c>
      <c r="E123" s="83">
        <v>122.0</v>
      </c>
      <c r="F123" s="85">
        <v>45309.0</v>
      </c>
      <c r="G123" s="83">
        <v>981.0238223</v>
      </c>
    </row>
    <row r="124" ht="22.5" customHeight="1">
      <c r="A124" s="82">
        <v>21.0</v>
      </c>
      <c r="B124" s="83">
        <v>1.0</v>
      </c>
      <c r="C124" s="84" t="s">
        <v>330</v>
      </c>
      <c r="D124" s="84" t="s">
        <v>331</v>
      </c>
      <c r="E124" s="83">
        <v>123.0</v>
      </c>
      <c r="F124" s="85">
        <v>45309.0</v>
      </c>
      <c r="G124" s="83">
        <v>1078.203366</v>
      </c>
    </row>
    <row r="125" ht="22.5" customHeight="1">
      <c r="A125" s="93">
        <v>21.0</v>
      </c>
      <c r="B125" s="83">
        <v>2.0</v>
      </c>
      <c r="C125" s="84" t="s">
        <v>326</v>
      </c>
      <c r="D125" s="84" t="s">
        <v>327</v>
      </c>
      <c r="E125" s="83">
        <v>124.0</v>
      </c>
      <c r="F125" s="85">
        <v>45309.0</v>
      </c>
      <c r="G125" s="83">
        <v>625.5687892</v>
      </c>
    </row>
    <row r="126" ht="22.5" customHeight="1">
      <c r="A126" s="93">
        <v>21.0</v>
      </c>
      <c r="B126" s="83">
        <v>2.0</v>
      </c>
      <c r="C126" s="84" t="s">
        <v>328</v>
      </c>
      <c r="D126" s="86" t="s">
        <v>329</v>
      </c>
      <c r="E126" s="83">
        <v>125.0</v>
      </c>
      <c r="F126" s="85">
        <v>45309.0</v>
      </c>
      <c r="G126" s="83">
        <v>778.0504352</v>
      </c>
    </row>
    <row r="127" ht="22.5" customHeight="1">
      <c r="A127" s="93">
        <v>21.0</v>
      </c>
      <c r="B127" s="83">
        <v>2.0</v>
      </c>
      <c r="C127" s="84" t="s">
        <v>330</v>
      </c>
      <c r="D127" s="84" t="s">
        <v>331</v>
      </c>
      <c r="E127" s="83">
        <v>126.0</v>
      </c>
      <c r="F127" s="85">
        <v>45309.0</v>
      </c>
      <c r="G127" s="83">
        <v>914.1904976</v>
      </c>
    </row>
    <row r="128" ht="22.5" customHeight="1">
      <c r="A128" s="82">
        <v>22.0</v>
      </c>
      <c r="B128" s="83">
        <v>1.0</v>
      </c>
      <c r="C128" s="84" t="s">
        <v>326</v>
      </c>
      <c r="D128" s="84" t="s">
        <v>327</v>
      </c>
      <c r="E128" s="83">
        <v>127.0</v>
      </c>
      <c r="F128" s="85">
        <v>45309.0</v>
      </c>
      <c r="G128" s="83">
        <v>597.8324477</v>
      </c>
    </row>
    <row r="129" ht="22.5" customHeight="1">
      <c r="A129" s="82">
        <v>22.0</v>
      </c>
      <c r="B129" s="83">
        <v>1.0</v>
      </c>
      <c r="C129" s="84" t="s">
        <v>328</v>
      </c>
      <c r="D129" s="86" t="s">
        <v>329</v>
      </c>
      <c r="E129" s="83">
        <v>128.0</v>
      </c>
      <c r="F129" s="85">
        <v>45309.0</v>
      </c>
      <c r="G129" s="83">
        <v>874.0870912</v>
      </c>
    </row>
    <row r="130" ht="22.5" customHeight="1">
      <c r="A130" s="82">
        <v>22.0</v>
      </c>
      <c r="B130" s="83">
        <v>1.0</v>
      </c>
      <c r="C130" s="84" t="s">
        <v>330</v>
      </c>
      <c r="D130" s="84" t="s">
        <v>331</v>
      </c>
      <c r="E130" s="83">
        <v>129.0</v>
      </c>
      <c r="F130" s="85">
        <v>45309.0</v>
      </c>
      <c r="G130" s="83">
        <v>1001.510505</v>
      </c>
    </row>
    <row r="131" ht="22.5" customHeight="1">
      <c r="A131" s="82">
        <v>22.0</v>
      </c>
      <c r="B131" s="83">
        <v>2.0</v>
      </c>
      <c r="C131" s="84" t="s">
        <v>326</v>
      </c>
      <c r="D131" s="84" t="s">
        <v>327</v>
      </c>
      <c r="E131" s="83">
        <v>130.0</v>
      </c>
      <c r="F131" s="85">
        <v>45309.0</v>
      </c>
      <c r="G131" s="83">
        <v>665.4674993</v>
      </c>
    </row>
    <row r="132" ht="22.5" customHeight="1">
      <c r="A132" s="82">
        <v>22.0</v>
      </c>
      <c r="B132" s="83">
        <v>2.0</v>
      </c>
      <c r="C132" s="84" t="s">
        <v>328</v>
      </c>
      <c r="D132" s="86" t="s">
        <v>329</v>
      </c>
      <c r="E132" s="83">
        <v>131.0</v>
      </c>
      <c r="F132" s="85">
        <v>45309.0</v>
      </c>
      <c r="G132" s="83">
        <v>943.7008732</v>
      </c>
    </row>
    <row r="133" ht="22.5" customHeight="1">
      <c r="A133" s="82">
        <v>22.0</v>
      </c>
      <c r="B133" s="83">
        <v>2.0</v>
      </c>
      <c r="C133" s="84" t="s">
        <v>330</v>
      </c>
      <c r="D133" s="84" t="s">
        <v>331</v>
      </c>
      <c r="E133" s="83">
        <v>132.0</v>
      </c>
      <c r="F133" s="85">
        <v>45309.0</v>
      </c>
      <c r="G133" s="83">
        <v>986.1582865</v>
      </c>
    </row>
    <row r="134" ht="22.5" customHeight="1">
      <c r="A134" s="82">
        <v>23.0</v>
      </c>
      <c r="B134" s="83">
        <v>1.0</v>
      </c>
      <c r="C134" s="84" t="s">
        <v>326</v>
      </c>
      <c r="D134" s="84" t="s">
        <v>327</v>
      </c>
      <c r="E134" s="83">
        <v>133.0</v>
      </c>
      <c r="F134" s="85">
        <v>45309.0</v>
      </c>
      <c r="G134" s="83">
        <v>555.4432665</v>
      </c>
    </row>
    <row r="135" ht="22.5" customHeight="1">
      <c r="A135" s="82">
        <v>23.0</v>
      </c>
      <c r="B135" s="83">
        <v>1.0</v>
      </c>
      <c r="C135" s="84" t="s">
        <v>328</v>
      </c>
      <c r="D135" s="86" t="s">
        <v>329</v>
      </c>
      <c r="E135" s="83">
        <v>134.0</v>
      </c>
      <c r="F135" s="85">
        <v>45309.0</v>
      </c>
      <c r="G135" s="83">
        <v>902.8127978</v>
      </c>
    </row>
    <row r="136" ht="22.5" customHeight="1">
      <c r="A136" s="82">
        <v>23.0</v>
      </c>
      <c r="B136" s="83">
        <v>1.0</v>
      </c>
      <c r="C136" s="84" t="s">
        <v>330</v>
      </c>
      <c r="D136" s="84" t="s">
        <v>331</v>
      </c>
      <c r="E136" s="83">
        <v>135.0</v>
      </c>
      <c r="F136" s="85">
        <v>45309.0</v>
      </c>
      <c r="G136" s="83">
        <v>1152.473987</v>
      </c>
    </row>
    <row r="137" ht="22.5" customHeight="1">
      <c r="A137" s="82">
        <v>23.0</v>
      </c>
      <c r="B137" s="83">
        <v>2.0</v>
      </c>
      <c r="C137" s="84" t="s">
        <v>326</v>
      </c>
      <c r="D137" s="84" t="s">
        <v>327</v>
      </c>
      <c r="E137" s="83">
        <v>136.0</v>
      </c>
      <c r="F137" s="85">
        <v>45309.0</v>
      </c>
      <c r="G137" s="83">
        <v>585.8747752</v>
      </c>
    </row>
    <row r="138" ht="22.5" customHeight="1">
      <c r="A138" s="82">
        <v>23.0</v>
      </c>
      <c r="B138" s="83">
        <v>2.0</v>
      </c>
      <c r="C138" s="84" t="s">
        <v>328</v>
      </c>
      <c r="D138" s="86" t="s">
        <v>329</v>
      </c>
      <c r="E138" s="83">
        <v>137.0</v>
      </c>
      <c r="F138" s="85">
        <v>45309.0</v>
      </c>
      <c r="G138" s="83">
        <v>701.1699364</v>
      </c>
    </row>
    <row r="139" ht="22.5" customHeight="1">
      <c r="A139" s="82">
        <v>23.0</v>
      </c>
      <c r="B139" s="83">
        <v>2.0</v>
      </c>
      <c r="C139" s="84" t="s">
        <v>330</v>
      </c>
      <c r="D139" s="84" t="s">
        <v>331</v>
      </c>
      <c r="E139" s="83">
        <v>138.0</v>
      </c>
      <c r="F139" s="85">
        <v>45309.0</v>
      </c>
      <c r="G139" s="83">
        <v>964.6140064</v>
      </c>
    </row>
    <row r="140" ht="22.5" customHeight="1">
      <c r="A140" s="82">
        <v>24.0</v>
      </c>
      <c r="B140" s="83">
        <v>1.0</v>
      </c>
      <c r="C140" s="84" t="s">
        <v>326</v>
      </c>
      <c r="D140" s="84" t="s">
        <v>327</v>
      </c>
      <c r="E140" s="83">
        <v>139.0</v>
      </c>
      <c r="F140" s="85">
        <v>45309.0</v>
      </c>
      <c r="G140" s="83">
        <v>663.4375949</v>
      </c>
    </row>
    <row r="141" ht="22.5" customHeight="1">
      <c r="A141" s="82">
        <v>24.0</v>
      </c>
      <c r="B141" s="83">
        <v>1.0</v>
      </c>
      <c r="C141" s="84" t="s">
        <v>328</v>
      </c>
      <c r="D141" s="86" t="s">
        <v>329</v>
      </c>
      <c r="E141" s="83">
        <v>140.0</v>
      </c>
      <c r="F141" s="85">
        <v>45309.0</v>
      </c>
      <c r="G141" s="83">
        <v>771.9777799</v>
      </c>
    </row>
    <row r="142" ht="22.5" customHeight="1">
      <c r="A142" s="82">
        <v>24.0</v>
      </c>
      <c r="B142" s="83">
        <v>1.0</v>
      </c>
      <c r="C142" s="84" t="s">
        <v>330</v>
      </c>
      <c r="D142" s="84" t="s">
        <v>331</v>
      </c>
      <c r="E142" s="83">
        <v>141.0</v>
      </c>
      <c r="F142" s="85">
        <v>45309.0</v>
      </c>
      <c r="G142" s="83">
        <v>1195.954882</v>
      </c>
    </row>
    <row r="143" ht="22.5" customHeight="1">
      <c r="A143" s="82">
        <v>24.0</v>
      </c>
      <c r="B143" s="83">
        <v>2.0</v>
      </c>
      <c r="C143" s="84" t="s">
        <v>326</v>
      </c>
      <c r="D143" s="84" t="s">
        <v>327</v>
      </c>
      <c r="E143" s="83">
        <v>142.0</v>
      </c>
      <c r="F143" s="85">
        <v>45309.0</v>
      </c>
      <c r="G143" s="83">
        <v>616.8009666</v>
      </c>
    </row>
    <row r="144" ht="22.5" customHeight="1">
      <c r="A144" s="82">
        <v>24.0</v>
      </c>
      <c r="B144" s="83">
        <v>2.0</v>
      </c>
      <c r="C144" s="84" t="s">
        <v>328</v>
      </c>
      <c r="D144" s="86" t="s">
        <v>329</v>
      </c>
      <c r="E144" s="83">
        <v>143.0</v>
      </c>
      <c r="F144" s="85">
        <v>45309.0</v>
      </c>
      <c r="G144" s="83">
        <v>830.9985312</v>
      </c>
    </row>
    <row r="145" ht="22.5" customHeight="1">
      <c r="A145" s="82">
        <v>24.0</v>
      </c>
      <c r="B145" s="83">
        <v>2.0</v>
      </c>
      <c r="C145" s="84" t="s">
        <v>330</v>
      </c>
      <c r="D145" s="84" t="s">
        <v>331</v>
      </c>
      <c r="E145" s="83">
        <v>144.0</v>
      </c>
      <c r="F145" s="85">
        <v>45309.0</v>
      </c>
      <c r="G145" s="83">
        <v>1157.659625</v>
      </c>
    </row>
    <row r="146" ht="22.5" customHeight="1">
      <c r="A146" s="82">
        <v>25.0</v>
      </c>
      <c r="B146" s="83">
        <v>1.0</v>
      </c>
      <c r="C146" s="84" t="s">
        <v>326</v>
      </c>
      <c r="D146" s="84" t="s">
        <v>327</v>
      </c>
      <c r="E146" s="83">
        <v>145.0</v>
      </c>
      <c r="F146" s="85">
        <v>45309.0</v>
      </c>
      <c r="G146" s="83">
        <v>713.3152471</v>
      </c>
    </row>
    <row r="147" ht="22.5" customHeight="1">
      <c r="A147" s="82">
        <v>25.0</v>
      </c>
      <c r="B147" s="83">
        <v>1.0</v>
      </c>
      <c r="C147" s="84" t="s">
        <v>328</v>
      </c>
      <c r="D147" s="86" t="s">
        <v>329</v>
      </c>
      <c r="E147" s="83">
        <v>146.0</v>
      </c>
      <c r="F147" s="85">
        <v>45309.0</v>
      </c>
      <c r="G147" s="83">
        <v>951.001706</v>
      </c>
    </row>
    <row r="148" ht="22.5" customHeight="1">
      <c r="A148" s="82">
        <v>25.0</v>
      </c>
      <c r="B148" s="83">
        <v>1.0</v>
      </c>
      <c r="C148" s="84" t="s">
        <v>330</v>
      </c>
      <c r="D148" s="84" t="s">
        <v>331</v>
      </c>
      <c r="E148" s="83">
        <v>147.0</v>
      </c>
      <c r="F148" s="85">
        <v>45309.0</v>
      </c>
      <c r="G148" s="83">
        <v>940.1186889</v>
      </c>
    </row>
    <row r="149" ht="22.5" customHeight="1">
      <c r="A149" s="82">
        <v>25.0</v>
      </c>
      <c r="B149" s="83">
        <v>2.0</v>
      </c>
      <c r="C149" s="84" t="s">
        <v>326</v>
      </c>
      <c r="D149" s="84" t="s">
        <v>327</v>
      </c>
      <c r="E149" s="83">
        <v>148.0</v>
      </c>
      <c r="F149" s="85">
        <v>45309.0</v>
      </c>
      <c r="G149" s="83">
        <v>709.4601344</v>
      </c>
    </row>
    <row r="150" ht="22.5" customHeight="1">
      <c r="A150" s="82">
        <v>25.0</v>
      </c>
      <c r="B150" s="83">
        <v>2.0</v>
      </c>
      <c r="C150" s="84" t="s">
        <v>328</v>
      </c>
      <c r="D150" s="86" t="s">
        <v>329</v>
      </c>
      <c r="E150" s="83">
        <v>149.0</v>
      </c>
      <c r="F150" s="85">
        <v>45309.0</v>
      </c>
      <c r="G150" s="83">
        <v>885.3283267</v>
      </c>
    </row>
    <row r="151" ht="22.5" customHeight="1">
      <c r="A151" s="82">
        <v>25.0</v>
      </c>
      <c r="B151" s="83">
        <v>2.0</v>
      </c>
      <c r="C151" s="84" t="s">
        <v>330</v>
      </c>
      <c r="D151" s="84" t="s">
        <v>331</v>
      </c>
      <c r="E151" s="83">
        <v>150.0</v>
      </c>
      <c r="F151" s="85">
        <v>45309.0</v>
      </c>
      <c r="G151" s="83">
        <v>879.8356441</v>
      </c>
    </row>
    <row r="152" ht="22.5" customHeight="1">
      <c r="A152" s="82">
        <v>26.0</v>
      </c>
      <c r="B152" s="83">
        <v>1.0</v>
      </c>
      <c r="C152" s="84" t="s">
        <v>326</v>
      </c>
      <c r="D152" s="84" t="s">
        <v>327</v>
      </c>
      <c r="E152" s="83">
        <v>151.0</v>
      </c>
      <c r="F152" s="85">
        <v>45308.0</v>
      </c>
      <c r="G152" s="83">
        <v>936.7412008</v>
      </c>
    </row>
    <row r="153" ht="22.5" customHeight="1">
      <c r="A153" s="82">
        <v>26.0</v>
      </c>
      <c r="B153" s="83">
        <v>1.0</v>
      </c>
      <c r="C153" s="84" t="s">
        <v>328</v>
      </c>
      <c r="D153" s="86" t="s">
        <v>329</v>
      </c>
      <c r="E153" s="83">
        <v>152.0</v>
      </c>
      <c r="F153" s="102">
        <v>45308.0</v>
      </c>
      <c r="G153" s="83">
        <v>1151.569912</v>
      </c>
    </row>
    <row r="154" ht="22.5" customHeight="1">
      <c r="A154" s="82">
        <v>26.0</v>
      </c>
      <c r="B154" s="83">
        <v>1.0</v>
      </c>
      <c r="C154" s="84" t="s">
        <v>330</v>
      </c>
      <c r="D154" s="84" t="s">
        <v>331</v>
      </c>
      <c r="E154" s="83">
        <v>153.0</v>
      </c>
      <c r="F154" s="102">
        <v>45308.0</v>
      </c>
      <c r="G154" s="83">
        <v>1268.178541</v>
      </c>
    </row>
    <row r="155" ht="22.5" customHeight="1">
      <c r="A155" s="82">
        <v>26.0</v>
      </c>
      <c r="B155" s="83">
        <v>2.0</v>
      </c>
      <c r="C155" s="84" t="s">
        <v>326</v>
      </c>
      <c r="D155" s="84" t="s">
        <v>327</v>
      </c>
      <c r="E155" s="83">
        <v>154.0</v>
      </c>
      <c r="F155" s="102">
        <v>45308.0</v>
      </c>
      <c r="G155" s="83">
        <v>815.7316027</v>
      </c>
    </row>
    <row r="156" ht="22.5" customHeight="1">
      <c r="A156" s="82">
        <v>26.0</v>
      </c>
      <c r="B156" s="83">
        <v>2.0</v>
      </c>
      <c r="C156" s="84" t="s">
        <v>328</v>
      </c>
      <c r="D156" s="86" t="s">
        <v>329</v>
      </c>
      <c r="E156" s="83">
        <v>155.0</v>
      </c>
      <c r="F156" s="102">
        <v>45308.0</v>
      </c>
      <c r="G156" s="83">
        <v>1009.476601</v>
      </c>
    </row>
    <row r="157" ht="22.5" customHeight="1">
      <c r="A157" s="82">
        <v>26.0</v>
      </c>
      <c r="B157" s="83">
        <v>2.0</v>
      </c>
      <c r="C157" s="84" t="s">
        <v>330</v>
      </c>
      <c r="D157" s="84" t="s">
        <v>331</v>
      </c>
      <c r="E157" s="83">
        <v>156.0</v>
      </c>
      <c r="F157" s="102">
        <v>45308.0</v>
      </c>
      <c r="G157" s="83">
        <v>1296.767783</v>
      </c>
    </row>
    <row r="158" ht="22.5" customHeight="1">
      <c r="A158" s="82">
        <v>27.0</v>
      </c>
      <c r="B158" s="83">
        <v>1.0</v>
      </c>
      <c r="C158" s="84" t="s">
        <v>326</v>
      </c>
      <c r="D158" s="84" t="s">
        <v>327</v>
      </c>
      <c r="E158" s="83">
        <v>157.0</v>
      </c>
      <c r="F158" s="85">
        <v>45310.0</v>
      </c>
      <c r="G158" s="83">
        <v>981.9278974</v>
      </c>
    </row>
    <row r="159" ht="22.5" customHeight="1">
      <c r="A159" s="82">
        <v>27.0</v>
      </c>
      <c r="B159" s="83">
        <v>1.0</v>
      </c>
      <c r="C159" s="84" t="s">
        <v>328</v>
      </c>
      <c r="D159" s="86" t="s">
        <v>329</v>
      </c>
      <c r="E159" s="83">
        <v>158.0</v>
      </c>
      <c r="F159" s="102">
        <v>45310.0</v>
      </c>
      <c r="G159" s="83">
        <v>1214.053442</v>
      </c>
    </row>
    <row r="160" ht="22.5" customHeight="1">
      <c r="A160" s="82">
        <v>27.0</v>
      </c>
      <c r="B160" s="83">
        <v>1.0</v>
      </c>
      <c r="C160" s="84" t="s">
        <v>330</v>
      </c>
      <c r="D160" s="84" t="s">
        <v>331</v>
      </c>
      <c r="E160" s="83">
        <v>159.0</v>
      </c>
      <c r="F160" s="102">
        <v>45310.0</v>
      </c>
      <c r="G160" s="83">
        <v>1157.079653</v>
      </c>
    </row>
    <row r="161" ht="22.5" customHeight="1">
      <c r="A161" s="82">
        <v>27.0</v>
      </c>
      <c r="B161" s="83">
        <v>2.0</v>
      </c>
      <c r="C161" s="84" t="s">
        <v>326</v>
      </c>
      <c r="D161" s="84" t="s">
        <v>327</v>
      </c>
      <c r="E161" s="83">
        <v>160.0</v>
      </c>
      <c r="F161" s="102">
        <v>45310.0</v>
      </c>
      <c r="G161" s="83">
        <v>988.0176107</v>
      </c>
    </row>
    <row r="162" ht="22.5" customHeight="1">
      <c r="A162" s="82">
        <v>27.0</v>
      </c>
      <c r="B162" s="83">
        <v>2.0</v>
      </c>
      <c r="C162" s="84" t="s">
        <v>328</v>
      </c>
      <c r="D162" s="86" t="s">
        <v>329</v>
      </c>
      <c r="E162" s="83">
        <v>161.0</v>
      </c>
      <c r="F162" s="102">
        <v>45310.0</v>
      </c>
      <c r="G162" s="83">
        <v>1145.497257</v>
      </c>
    </row>
    <row r="163" ht="22.5" customHeight="1">
      <c r="A163" s="82">
        <v>27.0</v>
      </c>
      <c r="B163" s="83">
        <v>2.0</v>
      </c>
      <c r="C163" s="84" t="s">
        <v>330</v>
      </c>
      <c r="D163" s="84" t="s">
        <v>331</v>
      </c>
      <c r="E163" s="83">
        <v>162.0</v>
      </c>
      <c r="F163" s="102">
        <v>45310.0</v>
      </c>
      <c r="G163" s="83">
        <v>1317.749149</v>
      </c>
    </row>
    <row r="164" ht="22.5" customHeight="1">
      <c r="A164" s="82">
        <v>28.0</v>
      </c>
      <c r="B164" s="83">
        <v>1.0</v>
      </c>
      <c r="C164" s="84" t="s">
        <v>326</v>
      </c>
      <c r="D164" s="84" t="s">
        <v>327</v>
      </c>
      <c r="E164" s="83">
        <v>163.0</v>
      </c>
      <c r="F164" s="85">
        <v>45310.0</v>
      </c>
      <c r="G164" s="83">
        <v>826.9216642</v>
      </c>
    </row>
    <row r="165" ht="22.5" customHeight="1">
      <c r="A165" s="82">
        <v>28.0</v>
      </c>
      <c r="B165" s="83">
        <v>1.0</v>
      </c>
      <c r="C165" s="84" t="s">
        <v>328</v>
      </c>
      <c r="D165" s="86" t="s">
        <v>329</v>
      </c>
      <c r="E165" s="83">
        <v>164.0</v>
      </c>
      <c r="F165" s="102">
        <v>45310.0</v>
      </c>
      <c r="G165" s="83">
        <v>1016.112171</v>
      </c>
    </row>
    <row r="166" ht="22.5" customHeight="1">
      <c r="A166" s="82">
        <v>28.0</v>
      </c>
      <c r="B166" s="83">
        <v>1.0</v>
      </c>
      <c r="C166" s="84" t="s">
        <v>330</v>
      </c>
      <c r="D166" s="84" t="s">
        <v>331</v>
      </c>
      <c r="E166" s="83">
        <v>165.0</v>
      </c>
      <c r="F166" s="102">
        <v>45310.0</v>
      </c>
      <c r="G166" s="83">
        <v>1012.41058</v>
      </c>
    </row>
    <row r="167" ht="22.5" customHeight="1">
      <c r="A167" s="93">
        <v>28.0</v>
      </c>
      <c r="B167" s="83">
        <v>2.0</v>
      </c>
      <c r="C167" s="84" t="s">
        <v>326</v>
      </c>
      <c r="D167" s="84" t="s">
        <v>327</v>
      </c>
      <c r="E167" s="83">
        <v>166.0</v>
      </c>
      <c r="F167" s="102">
        <v>45310.0</v>
      </c>
      <c r="G167" s="83">
        <v>800.1746879</v>
      </c>
    </row>
    <row r="168" ht="22.5" customHeight="1">
      <c r="A168" s="93">
        <v>28.0</v>
      </c>
      <c r="B168" s="83">
        <v>2.0</v>
      </c>
      <c r="C168" s="84" t="s">
        <v>328</v>
      </c>
      <c r="D168" s="86" t="s">
        <v>329</v>
      </c>
      <c r="E168" s="83">
        <v>167.0</v>
      </c>
      <c r="F168" s="102">
        <v>45310.0</v>
      </c>
      <c r="G168" s="83">
        <v>986.2776926</v>
      </c>
    </row>
    <row r="169" ht="22.5" customHeight="1">
      <c r="A169" s="93">
        <v>28.0</v>
      </c>
      <c r="B169" s="83">
        <v>2.0</v>
      </c>
      <c r="C169" s="84" t="s">
        <v>330</v>
      </c>
      <c r="D169" s="84" t="s">
        <v>331</v>
      </c>
      <c r="E169" s="83">
        <v>168.0</v>
      </c>
      <c r="F169" s="102">
        <v>45310.0</v>
      </c>
      <c r="G169" s="83">
        <v>973.347713</v>
      </c>
    </row>
    <row r="170" ht="22.5" customHeight="1">
      <c r="A170" s="82">
        <v>29.0</v>
      </c>
      <c r="B170" s="83">
        <v>1.0</v>
      </c>
      <c r="C170" s="84" t="s">
        <v>326</v>
      </c>
      <c r="D170" s="84" t="s">
        <v>327</v>
      </c>
      <c r="E170" s="83">
        <v>169.0</v>
      </c>
      <c r="F170" s="85">
        <v>45310.0</v>
      </c>
      <c r="G170" s="83">
        <v>789.6157732</v>
      </c>
    </row>
    <row r="171" ht="22.5" customHeight="1">
      <c r="A171" s="82">
        <v>29.0</v>
      </c>
      <c r="B171" s="83">
        <v>1.0</v>
      </c>
      <c r="C171" s="84" t="s">
        <v>328</v>
      </c>
      <c r="D171" s="86" t="s">
        <v>329</v>
      </c>
      <c r="E171" s="83">
        <v>170.0</v>
      </c>
      <c r="F171" s="102">
        <v>45310.0</v>
      </c>
      <c r="G171" s="83">
        <v>1168.900861</v>
      </c>
    </row>
    <row r="172" ht="22.5" customHeight="1">
      <c r="A172" s="82">
        <v>29.0</v>
      </c>
      <c r="B172" s="83">
        <v>1.0</v>
      </c>
      <c r="C172" s="84" t="s">
        <v>330</v>
      </c>
      <c r="D172" s="84" t="s">
        <v>331</v>
      </c>
      <c r="E172" s="83">
        <v>171.0</v>
      </c>
      <c r="F172" s="102">
        <v>45310.0</v>
      </c>
      <c r="G172" s="83">
        <v>1203.255715</v>
      </c>
    </row>
    <row r="173" ht="22.5" customHeight="1">
      <c r="A173" s="82">
        <v>29.0</v>
      </c>
      <c r="B173" s="83">
        <v>2.0</v>
      </c>
      <c r="C173" s="84" t="s">
        <v>326</v>
      </c>
      <c r="D173" s="84" t="s">
        <v>327</v>
      </c>
      <c r="E173" s="83">
        <v>172.0</v>
      </c>
      <c r="F173" s="102">
        <v>45310.0</v>
      </c>
      <c r="G173" s="83">
        <v>729.9979912</v>
      </c>
    </row>
    <row r="174" ht="22.5" customHeight="1">
      <c r="A174" s="82">
        <v>29.0</v>
      </c>
      <c r="B174" s="83">
        <v>2.0</v>
      </c>
      <c r="C174" s="84" t="s">
        <v>328</v>
      </c>
      <c r="D174" s="86" t="s">
        <v>329</v>
      </c>
      <c r="E174" s="83">
        <v>173.0</v>
      </c>
      <c r="F174" s="102">
        <v>45310.0</v>
      </c>
      <c r="G174" s="83">
        <v>927.2739994</v>
      </c>
    </row>
    <row r="175" ht="22.5" customHeight="1">
      <c r="A175" s="82">
        <v>29.0</v>
      </c>
      <c r="B175" s="83">
        <v>2.0</v>
      </c>
      <c r="C175" s="84" t="s">
        <v>330</v>
      </c>
      <c r="D175" s="84" t="s">
        <v>331</v>
      </c>
      <c r="E175" s="83">
        <v>174.0</v>
      </c>
      <c r="F175" s="102">
        <v>45310.0</v>
      </c>
      <c r="G175" s="83">
        <v>1071.499563</v>
      </c>
    </row>
    <row r="176" ht="22.5" customHeight="1">
      <c r="A176" s="82">
        <v>30.0</v>
      </c>
      <c r="B176" s="83">
        <v>1.0</v>
      </c>
      <c r="C176" s="84" t="s">
        <v>326</v>
      </c>
      <c r="D176" s="84" t="s">
        <v>327</v>
      </c>
      <c r="E176" s="83">
        <v>175.0</v>
      </c>
      <c r="F176" s="85">
        <v>45313.0</v>
      </c>
      <c r="G176" s="83">
        <v>1126.869898</v>
      </c>
    </row>
    <row r="177" ht="22.5" customHeight="1">
      <c r="A177" s="82">
        <v>30.0</v>
      </c>
      <c r="B177" s="83">
        <v>1.0</v>
      </c>
      <c r="C177" s="84" t="s">
        <v>328</v>
      </c>
      <c r="D177" s="86" t="s">
        <v>329</v>
      </c>
      <c r="E177" s="83">
        <v>176.0</v>
      </c>
      <c r="F177" s="85">
        <v>45313.0</v>
      </c>
      <c r="G177" s="83">
        <v>1186.914131</v>
      </c>
    </row>
    <row r="178" ht="22.5" customHeight="1">
      <c r="A178" s="82">
        <v>30.0</v>
      </c>
      <c r="B178" s="83">
        <v>1.0</v>
      </c>
      <c r="C178" s="84" t="s">
        <v>330</v>
      </c>
      <c r="D178" s="84" t="s">
        <v>331</v>
      </c>
      <c r="E178" s="83">
        <v>177.0</v>
      </c>
      <c r="F178" s="85">
        <v>45313.0</v>
      </c>
      <c r="G178" s="83">
        <v>1334.636589</v>
      </c>
    </row>
    <row r="179" ht="22.5" customHeight="1">
      <c r="A179" s="82">
        <v>30.0</v>
      </c>
      <c r="B179" s="83">
        <v>2.0</v>
      </c>
      <c r="C179" s="84" t="s">
        <v>326</v>
      </c>
      <c r="D179" s="84" t="s">
        <v>327</v>
      </c>
      <c r="E179" s="83">
        <v>178.0</v>
      </c>
      <c r="F179" s="85">
        <v>45313.0</v>
      </c>
      <c r="G179" s="83">
        <v>1017.476812</v>
      </c>
    </row>
    <row r="180" ht="22.5" customHeight="1">
      <c r="A180" s="82">
        <v>30.0</v>
      </c>
      <c r="B180" s="83">
        <v>2.0</v>
      </c>
      <c r="C180" s="84" t="s">
        <v>328</v>
      </c>
      <c r="D180" s="86" t="s">
        <v>329</v>
      </c>
      <c r="E180" s="83">
        <v>179.0</v>
      </c>
      <c r="F180" s="85">
        <v>45313.0</v>
      </c>
      <c r="G180" s="83">
        <v>1137.190001</v>
      </c>
    </row>
    <row r="181" ht="22.5" customHeight="1">
      <c r="A181" s="82">
        <v>30.0</v>
      </c>
      <c r="B181" s="83">
        <v>2.0</v>
      </c>
      <c r="C181" s="84" t="s">
        <v>330</v>
      </c>
      <c r="D181" s="84" t="s">
        <v>331</v>
      </c>
      <c r="E181" s="83">
        <v>180.0</v>
      </c>
      <c r="F181" s="85">
        <v>45313.0</v>
      </c>
      <c r="G181" s="83">
        <v>1239.333428</v>
      </c>
    </row>
    <row r="182" ht="22.5" customHeight="1">
      <c r="A182" s="82">
        <v>31.0</v>
      </c>
      <c r="B182" s="83">
        <v>1.0</v>
      </c>
      <c r="C182" s="84" t="s">
        <v>326</v>
      </c>
      <c r="D182" s="84" t="s">
        <v>327</v>
      </c>
      <c r="E182" s="83">
        <v>181.0</v>
      </c>
      <c r="F182" s="114"/>
      <c r="G182" s="115"/>
    </row>
    <row r="183" ht="22.5" customHeight="1">
      <c r="A183" s="82">
        <v>31.0</v>
      </c>
      <c r="B183" s="83">
        <v>1.0</v>
      </c>
      <c r="C183" s="84" t="s">
        <v>328</v>
      </c>
      <c r="D183" s="86" t="s">
        <v>329</v>
      </c>
      <c r="E183" s="83">
        <v>182.0</v>
      </c>
      <c r="F183" s="114"/>
      <c r="G183" s="115"/>
    </row>
    <row r="184" ht="22.5" customHeight="1">
      <c r="A184" s="82">
        <v>31.0</v>
      </c>
      <c r="B184" s="83">
        <v>1.0</v>
      </c>
      <c r="C184" s="84" t="s">
        <v>330</v>
      </c>
      <c r="D184" s="84" t="s">
        <v>331</v>
      </c>
      <c r="E184" s="83">
        <v>183.0</v>
      </c>
      <c r="F184" s="114"/>
      <c r="G184" s="115"/>
    </row>
    <row r="185" ht="22.5" customHeight="1">
      <c r="A185" s="82">
        <v>31.0</v>
      </c>
      <c r="B185" s="83">
        <v>2.0</v>
      </c>
      <c r="C185" s="84" t="s">
        <v>326</v>
      </c>
      <c r="D185" s="84" t="s">
        <v>327</v>
      </c>
      <c r="E185" s="83">
        <v>184.0</v>
      </c>
      <c r="F185" s="114"/>
      <c r="G185" s="115"/>
    </row>
    <row r="186" ht="22.5" customHeight="1">
      <c r="A186" s="82">
        <v>31.0</v>
      </c>
      <c r="B186" s="83">
        <v>2.0</v>
      </c>
      <c r="C186" s="84" t="s">
        <v>328</v>
      </c>
      <c r="D186" s="86" t="s">
        <v>329</v>
      </c>
      <c r="E186" s="83">
        <v>185.0</v>
      </c>
      <c r="F186" s="115"/>
      <c r="G186" s="115"/>
    </row>
    <row r="187" ht="22.5" customHeight="1">
      <c r="A187" s="82">
        <v>31.0</v>
      </c>
      <c r="B187" s="83">
        <v>2.0</v>
      </c>
      <c r="C187" s="84" t="s">
        <v>330</v>
      </c>
      <c r="D187" s="84" t="s">
        <v>331</v>
      </c>
      <c r="E187" s="83">
        <v>186.0</v>
      </c>
      <c r="F187" s="115"/>
      <c r="G187" s="115"/>
    </row>
    <row r="188" ht="22.5" customHeight="1">
      <c r="A188" s="82">
        <v>32.0</v>
      </c>
      <c r="B188" s="83">
        <v>1.0</v>
      </c>
      <c r="C188" s="84" t="s">
        <v>326</v>
      </c>
      <c r="D188" s="84" t="s">
        <v>327</v>
      </c>
      <c r="E188" s="83">
        <v>187.0</v>
      </c>
      <c r="F188" s="85">
        <v>45313.0</v>
      </c>
      <c r="G188" s="83">
        <v>844.7814118</v>
      </c>
    </row>
    <row r="189" ht="22.5" customHeight="1">
      <c r="A189" s="82">
        <v>32.0</v>
      </c>
      <c r="B189" s="83">
        <v>1.0</v>
      </c>
      <c r="C189" s="84" t="s">
        <v>328</v>
      </c>
      <c r="D189" s="86" t="s">
        <v>329</v>
      </c>
      <c r="E189" s="83">
        <v>188.0</v>
      </c>
      <c r="F189" s="85">
        <v>45313.0</v>
      </c>
      <c r="G189" s="83">
        <v>997.9624367</v>
      </c>
    </row>
    <row r="190" ht="22.5" customHeight="1">
      <c r="A190" s="82">
        <v>32.0</v>
      </c>
      <c r="B190" s="83">
        <v>1.0</v>
      </c>
      <c r="C190" s="84" t="s">
        <v>330</v>
      </c>
      <c r="D190" s="84" t="s">
        <v>331</v>
      </c>
      <c r="E190" s="83">
        <v>189.0</v>
      </c>
      <c r="F190" s="85">
        <v>45313.0</v>
      </c>
      <c r="G190" s="83">
        <v>1054.509775</v>
      </c>
    </row>
    <row r="191" ht="22.5" customHeight="1">
      <c r="A191" s="82">
        <v>32.0</v>
      </c>
      <c r="B191" s="83">
        <v>2.0</v>
      </c>
      <c r="C191" s="84" t="s">
        <v>326</v>
      </c>
      <c r="D191" s="84" t="s">
        <v>327</v>
      </c>
      <c r="E191" s="83">
        <v>190.0</v>
      </c>
      <c r="F191" s="85">
        <v>45313.0</v>
      </c>
      <c r="G191" s="83">
        <v>927.9222042</v>
      </c>
    </row>
    <row r="192" ht="22.5" customHeight="1">
      <c r="A192" s="82">
        <v>32.0</v>
      </c>
      <c r="B192" s="83">
        <v>2.0</v>
      </c>
      <c r="C192" s="84" t="s">
        <v>328</v>
      </c>
      <c r="D192" s="86" t="s">
        <v>329</v>
      </c>
      <c r="E192" s="83">
        <v>191.0</v>
      </c>
      <c r="F192" s="85">
        <v>45313.0</v>
      </c>
      <c r="G192" s="83">
        <v>1025.698778</v>
      </c>
    </row>
    <row r="193" ht="22.5" customHeight="1">
      <c r="A193" s="82">
        <v>32.0</v>
      </c>
      <c r="B193" s="83">
        <v>2.0</v>
      </c>
      <c r="C193" s="84" t="s">
        <v>330</v>
      </c>
      <c r="D193" s="84" t="s">
        <v>331</v>
      </c>
      <c r="E193" s="83">
        <v>192.0</v>
      </c>
      <c r="F193" s="85">
        <v>45313.0</v>
      </c>
      <c r="G193" s="83">
        <v>1238.838745</v>
      </c>
    </row>
    <row r="194" ht="22.5" customHeight="1">
      <c r="A194" s="82">
        <v>33.0</v>
      </c>
      <c r="B194" s="83">
        <v>1.0</v>
      </c>
      <c r="C194" s="84" t="s">
        <v>326</v>
      </c>
      <c r="D194" s="84" t="s">
        <v>327</v>
      </c>
      <c r="E194" s="83">
        <v>193.0</v>
      </c>
      <c r="F194" s="85">
        <v>45313.0</v>
      </c>
      <c r="G194" s="83">
        <v>796.916606</v>
      </c>
    </row>
    <row r="195" ht="22.5" customHeight="1">
      <c r="A195" s="82">
        <v>33.0</v>
      </c>
      <c r="B195" s="83">
        <v>1.0</v>
      </c>
      <c r="C195" s="84" t="s">
        <v>328</v>
      </c>
      <c r="D195" s="86" t="s">
        <v>329</v>
      </c>
      <c r="E195" s="83">
        <v>194.0</v>
      </c>
      <c r="F195" s="85">
        <v>45313.0</v>
      </c>
      <c r="G195" s="83">
        <v>1090.519256</v>
      </c>
    </row>
    <row r="196" ht="22.5" customHeight="1">
      <c r="A196" s="82">
        <v>33.0</v>
      </c>
      <c r="B196" s="83">
        <v>1.0</v>
      </c>
      <c r="C196" s="84" t="s">
        <v>330</v>
      </c>
      <c r="D196" s="84" t="s">
        <v>331</v>
      </c>
      <c r="E196" s="83">
        <v>195.0</v>
      </c>
      <c r="F196" s="85">
        <v>45313.0</v>
      </c>
      <c r="G196" s="83">
        <v>1094.613181</v>
      </c>
    </row>
    <row r="197" ht="22.5" customHeight="1">
      <c r="A197" s="82">
        <v>33.0</v>
      </c>
      <c r="B197" s="83">
        <v>2.0</v>
      </c>
      <c r="C197" s="84" t="s">
        <v>326</v>
      </c>
      <c r="D197" s="84" t="s">
        <v>327</v>
      </c>
      <c r="E197" s="83">
        <v>196.0</v>
      </c>
      <c r="F197" s="85">
        <v>45313.0</v>
      </c>
      <c r="G197" s="83">
        <v>937.1505933</v>
      </c>
    </row>
    <row r="198" ht="22.5" customHeight="1">
      <c r="A198" s="82">
        <v>33.0</v>
      </c>
      <c r="B198" s="83">
        <v>2.0</v>
      </c>
      <c r="C198" s="84" t="s">
        <v>328</v>
      </c>
      <c r="D198" s="86" t="s">
        <v>329</v>
      </c>
      <c r="E198" s="83">
        <v>197.0</v>
      </c>
      <c r="F198" s="85">
        <v>45313.0</v>
      </c>
      <c r="G198" s="83">
        <v>1129.206847</v>
      </c>
    </row>
    <row r="199" ht="22.5" customHeight="1">
      <c r="A199" s="82">
        <v>33.0</v>
      </c>
      <c r="B199" s="83">
        <v>2.0</v>
      </c>
      <c r="C199" s="84" t="s">
        <v>330</v>
      </c>
      <c r="D199" s="84" t="s">
        <v>331</v>
      </c>
      <c r="E199" s="83">
        <v>198.0</v>
      </c>
      <c r="F199" s="85">
        <v>45313.0</v>
      </c>
      <c r="G199" s="83">
        <v>1066.70626</v>
      </c>
    </row>
    <row r="200" ht="22.5" customHeight="1">
      <c r="A200" s="82">
        <v>34.0</v>
      </c>
      <c r="B200" s="83">
        <v>1.0</v>
      </c>
      <c r="C200" s="84" t="s">
        <v>326</v>
      </c>
      <c r="D200" s="84" t="s">
        <v>327</v>
      </c>
      <c r="E200" s="83">
        <v>199.0</v>
      </c>
      <c r="F200" s="85">
        <v>45308.0</v>
      </c>
      <c r="G200" s="83">
        <v>842.9732616</v>
      </c>
    </row>
    <row r="201" ht="22.5" customHeight="1">
      <c r="A201" s="82">
        <v>34.0</v>
      </c>
      <c r="B201" s="83">
        <v>1.0</v>
      </c>
      <c r="C201" s="84" t="s">
        <v>328</v>
      </c>
      <c r="D201" s="86" t="s">
        <v>329</v>
      </c>
      <c r="E201" s="83">
        <v>200.0</v>
      </c>
      <c r="F201" s="102">
        <v>45308.0</v>
      </c>
      <c r="G201" s="83">
        <v>1131.373216</v>
      </c>
    </row>
    <row r="202" ht="22.5" customHeight="1">
      <c r="A202" s="82">
        <v>34.0</v>
      </c>
      <c r="B202" s="83">
        <v>1.0</v>
      </c>
      <c r="C202" s="84" t="s">
        <v>330</v>
      </c>
      <c r="D202" s="84" t="s">
        <v>331</v>
      </c>
      <c r="E202" s="83">
        <v>201.0</v>
      </c>
      <c r="F202" s="102">
        <v>45308.0</v>
      </c>
      <c r="G202" s="83">
        <v>1173.523585</v>
      </c>
    </row>
    <row r="203" ht="22.5" customHeight="1">
      <c r="A203" s="82">
        <v>34.0</v>
      </c>
      <c r="B203" s="83">
        <v>2.0</v>
      </c>
      <c r="C203" s="84" t="s">
        <v>326</v>
      </c>
      <c r="D203" s="84" t="s">
        <v>327</v>
      </c>
      <c r="E203" s="83">
        <v>202.0</v>
      </c>
      <c r="F203" s="102">
        <v>45308.0</v>
      </c>
      <c r="G203" s="83">
        <v>780.8138346</v>
      </c>
    </row>
    <row r="204" ht="22.5" customHeight="1">
      <c r="A204" s="82">
        <v>34.0</v>
      </c>
      <c r="B204" s="83">
        <v>2.0</v>
      </c>
      <c r="C204" s="84" t="s">
        <v>328</v>
      </c>
      <c r="D204" s="86" t="s">
        <v>329</v>
      </c>
      <c r="E204" s="83">
        <v>203.0</v>
      </c>
      <c r="F204" s="102">
        <v>45308.0</v>
      </c>
      <c r="G204" s="83">
        <v>1044.940225</v>
      </c>
    </row>
    <row r="205" ht="22.5" customHeight="1">
      <c r="A205" s="82">
        <v>34.0</v>
      </c>
      <c r="B205" s="83">
        <v>2.0</v>
      </c>
      <c r="C205" s="84" t="s">
        <v>330</v>
      </c>
      <c r="D205" s="84" t="s">
        <v>331</v>
      </c>
      <c r="E205" s="83">
        <v>204.0</v>
      </c>
      <c r="F205" s="102">
        <v>45308.0</v>
      </c>
      <c r="G205" s="83">
        <v>1422.076003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F8F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88"/>
    <col customWidth="1" min="3" max="3" width="15.25"/>
    <col customWidth="1" min="5" max="5" width="15.75"/>
    <col customWidth="1" min="10" max="10" width="13.25"/>
  </cols>
  <sheetData>
    <row r="1" ht="22.5" customHeight="1">
      <c r="A1" s="75" t="s">
        <v>19</v>
      </c>
      <c r="B1" s="75" t="s">
        <v>88</v>
      </c>
      <c r="C1" s="75" t="s">
        <v>92</v>
      </c>
      <c r="D1" s="75" t="s">
        <v>94</v>
      </c>
      <c r="E1" s="75" t="s">
        <v>96</v>
      </c>
      <c r="F1" s="75" t="s">
        <v>98</v>
      </c>
      <c r="G1" s="75" t="s">
        <v>100</v>
      </c>
      <c r="H1" s="75" t="s">
        <v>102</v>
      </c>
      <c r="I1" s="75" t="s">
        <v>105</v>
      </c>
      <c r="J1" s="75" t="s">
        <v>325</v>
      </c>
    </row>
    <row r="2" ht="22.5" customHeight="1">
      <c r="A2" s="77">
        <v>1.0</v>
      </c>
      <c r="B2" s="77">
        <v>5.0</v>
      </c>
      <c r="C2" s="77">
        <v>0.0</v>
      </c>
      <c r="D2" s="77">
        <v>1.0</v>
      </c>
      <c r="E2" s="77">
        <v>1.0</v>
      </c>
      <c r="F2" s="77">
        <v>1.0</v>
      </c>
      <c r="G2" s="77">
        <v>2.0</v>
      </c>
      <c r="H2" s="77">
        <v>1.0</v>
      </c>
      <c r="I2" s="77">
        <v>0.0</v>
      </c>
      <c r="J2" s="77">
        <v>5.0</v>
      </c>
    </row>
    <row r="3" ht="22.5" customHeight="1">
      <c r="A3" s="77">
        <v>2.0</v>
      </c>
      <c r="B3" s="52"/>
      <c r="C3" s="77">
        <v>1.0</v>
      </c>
      <c r="D3" s="77">
        <v>1.0</v>
      </c>
      <c r="E3" s="77">
        <v>0.0</v>
      </c>
      <c r="F3" s="77">
        <v>2.0</v>
      </c>
      <c r="G3" s="77">
        <v>1.0</v>
      </c>
      <c r="H3" s="77">
        <v>3.0</v>
      </c>
      <c r="I3" s="77">
        <v>0.0</v>
      </c>
      <c r="J3" s="77">
        <v>2.0</v>
      </c>
    </row>
    <row r="4" ht="22.5" customHeight="1">
      <c r="A4" s="77">
        <v>3.0</v>
      </c>
      <c r="B4" s="77">
        <v>5.0</v>
      </c>
      <c r="C4" s="77">
        <v>0.0</v>
      </c>
      <c r="D4" s="77">
        <v>0.0</v>
      </c>
      <c r="E4" s="77">
        <v>1.0</v>
      </c>
      <c r="F4" s="77">
        <v>0.0</v>
      </c>
      <c r="G4" s="77">
        <v>0.0</v>
      </c>
      <c r="H4" s="77">
        <v>1.0</v>
      </c>
      <c r="I4" s="77">
        <v>1.0</v>
      </c>
      <c r="J4" s="77">
        <v>2.0</v>
      </c>
    </row>
    <row r="5" ht="22.5" customHeight="1">
      <c r="A5" s="77">
        <v>4.0</v>
      </c>
      <c r="B5" s="52"/>
      <c r="C5" s="77">
        <v>1.0</v>
      </c>
      <c r="D5" s="77">
        <v>1.0</v>
      </c>
      <c r="E5" s="77">
        <v>0.0</v>
      </c>
      <c r="F5" s="77">
        <v>2.0</v>
      </c>
      <c r="G5" s="77">
        <v>1.0</v>
      </c>
      <c r="H5" s="77">
        <v>3.0</v>
      </c>
      <c r="I5" s="77">
        <v>0.0</v>
      </c>
      <c r="J5" s="77">
        <v>5.0</v>
      </c>
    </row>
    <row r="6" ht="22.5" customHeight="1">
      <c r="A6" s="77">
        <v>5.0</v>
      </c>
      <c r="B6" s="77">
        <v>3.0</v>
      </c>
      <c r="C6" s="77">
        <v>1.0</v>
      </c>
      <c r="D6" s="77">
        <v>1.0</v>
      </c>
      <c r="E6" s="77">
        <v>0.0</v>
      </c>
      <c r="F6" s="77">
        <v>2.0</v>
      </c>
      <c r="G6" s="77">
        <v>2.0</v>
      </c>
      <c r="H6" s="77">
        <v>3.0</v>
      </c>
      <c r="I6" s="77">
        <v>0.0</v>
      </c>
      <c r="J6" s="77">
        <v>3.0</v>
      </c>
    </row>
    <row r="7" ht="22.5" customHeight="1">
      <c r="A7" s="77">
        <v>6.0</v>
      </c>
      <c r="B7" s="77">
        <v>3.0</v>
      </c>
      <c r="C7" s="77">
        <v>1.0</v>
      </c>
      <c r="D7" s="77">
        <v>1.0</v>
      </c>
      <c r="E7" s="77">
        <v>0.0</v>
      </c>
      <c r="F7" s="77">
        <v>2.0</v>
      </c>
      <c r="G7" s="77">
        <v>0.0</v>
      </c>
      <c r="H7" s="77">
        <v>2.0</v>
      </c>
      <c r="I7" s="77">
        <v>0.0</v>
      </c>
      <c r="J7" s="77">
        <v>5.0</v>
      </c>
    </row>
    <row r="8" ht="22.5" customHeight="1">
      <c r="A8" s="77">
        <v>7.0</v>
      </c>
      <c r="B8" s="77">
        <v>5.0</v>
      </c>
      <c r="C8" s="77">
        <v>0.0</v>
      </c>
      <c r="D8" s="77">
        <v>1.0</v>
      </c>
      <c r="E8" s="77">
        <v>1.0</v>
      </c>
      <c r="F8" s="77">
        <v>1.0</v>
      </c>
      <c r="G8" s="77">
        <v>0.0</v>
      </c>
      <c r="H8" s="77">
        <v>1.0</v>
      </c>
      <c r="I8" s="77">
        <v>0.0</v>
      </c>
      <c r="J8" s="77">
        <v>5.0</v>
      </c>
    </row>
    <row r="9" ht="22.5" customHeight="1">
      <c r="A9" s="77">
        <v>8.0</v>
      </c>
      <c r="B9" s="77">
        <v>5.0</v>
      </c>
      <c r="C9" s="77">
        <v>0.0</v>
      </c>
      <c r="D9" s="77">
        <v>0.0</v>
      </c>
      <c r="E9" s="77">
        <v>1.0</v>
      </c>
      <c r="F9" s="77">
        <v>0.0</v>
      </c>
      <c r="G9" s="77">
        <v>1.0</v>
      </c>
      <c r="H9" s="77">
        <v>1.0</v>
      </c>
      <c r="I9" s="77">
        <v>1.0</v>
      </c>
      <c r="J9" s="77">
        <v>3.0</v>
      </c>
    </row>
    <row r="10" ht="22.5" customHeight="1">
      <c r="A10" s="77">
        <v>9.0</v>
      </c>
      <c r="B10" s="77">
        <v>5.0</v>
      </c>
      <c r="C10" s="77">
        <v>0.0</v>
      </c>
      <c r="D10" s="77">
        <v>0.0</v>
      </c>
      <c r="E10" s="77">
        <v>1.0</v>
      </c>
      <c r="F10" s="77">
        <v>0.0</v>
      </c>
      <c r="G10" s="77">
        <v>1.0</v>
      </c>
      <c r="H10" s="77">
        <v>1.0</v>
      </c>
      <c r="I10" s="77">
        <v>1.0</v>
      </c>
      <c r="J10" s="77">
        <v>3.0</v>
      </c>
    </row>
    <row r="11" ht="22.5" customHeight="1">
      <c r="A11" s="77">
        <v>10.0</v>
      </c>
      <c r="B11" s="77">
        <v>5.0</v>
      </c>
      <c r="C11" s="77">
        <v>0.0</v>
      </c>
      <c r="D11" s="77">
        <v>0.0</v>
      </c>
      <c r="E11" s="77">
        <v>1.0</v>
      </c>
      <c r="F11" s="77">
        <v>0.0</v>
      </c>
      <c r="G11" s="77">
        <v>2.0</v>
      </c>
      <c r="H11" s="77">
        <v>1.0</v>
      </c>
      <c r="I11" s="77">
        <v>0.0</v>
      </c>
      <c r="J11" s="77">
        <v>2.0</v>
      </c>
    </row>
    <row r="12" ht="22.5" customHeight="1">
      <c r="A12" s="77">
        <v>11.0</v>
      </c>
      <c r="B12" s="77">
        <v>4.0</v>
      </c>
      <c r="C12" s="77">
        <v>0.0</v>
      </c>
      <c r="D12" s="77">
        <v>0.0</v>
      </c>
      <c r="E12" s="77">
        <v>1.0</v>
      </c>
      <c r="F12" s="77">
        <v>0.0</v>
      </c>
      <c r="G12" s="77">
        <v>1.0</v>
      </c>
      <c r="H12" s="77">
        <v>2.0</v>
      </c>
      <c r="I12" s="77">
        <v>0.0</v>
      </c>
      <c r="J12" s="77">
        <v>3.0</v>
      </c>
    </row>
    <row r="13" ht="22.5" customHeight="1">
      <c r="A13" s="77">
        <v>12.0</v>
      </c>
      <c r="B13" s="77">
        <v>5.0</v>
      </c>
      <c r="C13" s="77">
        <v>1.0</v>
      </c>
      <c r="D13" s="77">
        <v>1.0</v>
      </c>
      <c r="E13" s="77">
        <v>0.0</v>
      </c>
      <c r="F13" s="77">
        <v>2.0</v>
      </c>
      <c r="G13" s="77">
        <v>2.0</v>
      </c>
      <c r="H13" s="77">
        <v>1.0</v>
      </c>
      <c r="I13" s="77">
        <v>0.0</v>
      </c>
      <c r="J13" s="77">
        <v>3.0</v>
      </c>
    </row>
    <row r="14" ht="22.5" customHeight="1">
      <c r="A14" s="77">
        <v>13.0</v>
      </c>
      <c r="B14" s="77">
        <v>4.0</v>
      </c>
      <c r="C14" s="77">
        <v>1.0</v>
      </c>
      <c r="D14" s="77">
        <v>1.0</v>
      </c>
      <c r="E14" s="77">
        <v>0.0</v>
      </c>
      <c r="F14" s="77">
        <v>2.0</v>
      </c>
      <c r="G14" s="77">
        <v>0.0</v>
      </c>
      <c r="H14" s="77">
        <v>3.0</v>
      </c>
      <c r="I14" s="77">
        <v>0.0</v>
      </c>
      <c r="J14" s="77">
        <v>3.0</v>
      </c>
    </row>
    <row r="15" ht="22.5" customHeight="1">
      <c r="A15" s="77">
        <v>14.0</v>
      </c>
      <c r="B15" s="77">
        <v>5.0</v>
      </c>
      <c r="C15" s="77">
        <v>0.0</v>
      </c>
      <c r="D15" s="77">
        <v>0.0</v>
      </c>
      <c r="E15" s="77">
        <v>1.0</v>
      </c>
      <c r="F15" s="77">
        <v>0.0</v>
      </c>
      <c r="G15" s="88">
        <v>2.0</v>
      </c>
      <c r="H15" s="77">
        <v>1.0</v>
      </c>
      <c r="I15" s="77">
        <v>0.0</v>
      </c>
      <c r="J15" s="77">
        <v>3.0</v>
      </c>
    </row>
    <row r="16" ht="22.5" customHeight="1">
      <c r="A16" s="77">
        <v>15.0</v>
      </c>
      <c r="B16" s="77">
        <v>5.0</v>
      </c>
      <c r="C16" s="77">
        <v>0.0</v>
      </c>
      <c r="D16" s="77">
        <v>1.0</v>
      </c>
      <c r="E16" s="77">
        <v>0.0</v>
      </c>
      <c r="F16" s="77">
        <v>1.0</v>
      </c>
      <c r="G16" s="88">
        <v>2.0</v>
      </c>
      <c r="H16" s="77">
        <v>1.0</v>
      </c>
      <c r="I16" s="77">
        <v>0.0</v>
      </c>
      <c r="J16" s="77">
        <v>3.0</v>
      </c>
    </row>
    <row r="17" ht="22.5" customHeight="1">
      <c r="A17" s="77">
        <v>16.0</v>
      </c>
      <c r="B17" s="77">
        <v>4.0</v>
      </c>
      <c r="C17" s="77">
        <v>1.0</v>
      </c>
      <c r="D17" s="77">
        <v>1.0</v>
      </c>
      <c r="E17" s="77">
        <v>0.0</v>
      </c>
      <c r="F17" s="77">
        <v>2.0</v>
      </c>
      <c r="G17" s="77">
        <v>0.0</v>
      </c>
      <c r="H17" s="77">
        <v>3.0</v>
      </c>
      <c r="I17" s="77">
        <v>0.0</v>
      </c>
      <c r="J17" s="77">
        <v>3.0</v>
      </c>
    </row>
    <row r="18" ht="22.5" customHeight="1">
      <c r="A18" s="77">
        <v>17.0</v>
      </c>
      <c r="B18" s="77">
        <v>4.0</v>
      </c>
      <c r="C18" s="77">
        <v>0.0</v>
      </c>
      <c r="D18" s="77">
        <v>0.0</v>
      </c>
      <c r="E18" s="77">
        <v>1.0</v>
      </c>
      <c r="F18" s="77">
        <v>0.0</v>
      </c>
      <c r="G18" s="77">
        <v>0.0</v>
      </c>
      <c r="H18" s="77">
        <v>1.0</v>
      </c>
      <c r="I18" s="77">
        <v>0.0</v>
      </c>
      <c r="J18" s="77">
        <v>3.0</v>
      </c>
    </row>
    <row r="19" ht="22.5" customHeight="1">
      <c r="A19" s="77">
        <v>18.0</v>
      </c>
      <c r="B19" s="77">
        <v>4.0</v>
      </c>
      <c r="C19" s="77">
        <v>0.0</v>
      </c>
      <c r="D19" s="77">
        <v>0.0</v>
      </c>
      <c r="E19" s="77">
        <v>1.0</v>
      </c>
      <c r="F19" s="77">
        <v>0.0</v>
      </c>
      <c r="G19" s="77">
        <v>1.0</v>
      </c>
      <c r="H19" s="77">
        <v>1.0</v>
      </c>
      <c r="I19" s="77">
        <v>0.0</v>
      </c>
      <c r="J19" s="77">
        <v>3.0</v>
      </c>
    </row>
    <row r="20" ht="22.5" customHeight="1">
      <c r="A20" s="77">
        <v>19.0</v>
      </c>
      <c r="B20" s="77">
        <v>5.0</v>
      </c>
      <c r="C20" s="77">
        <v>0.0</v>
      </c>
      <c r="D20" s="77">
        <v>0.0</v>
      </c>
      <c r="E20" s="77">
        <v>1.0</v>
      </c>
      <c r="F20" s="77">
        <v>0.0</v>
      </c>
      <c r="G20" s="77">
        <v>1.0</v>
      </c>
      <c r="H20" s="77">
        <v>1.0</v>
      </c>
      <c r="I20" s="77">
        <v>1.0</v>
      </c>
      <c r="J20" s="77">
        <v>3.0</v>
      </c>
    </row>
    <row r="21" ht="22.5" customHeight="1">
      <c r="A21" s="77">
        <v>20.0</v>
      </c>
      <c r="B21" s="77">
        <v>3.0</v>
      </c>
      <c r="C21" s="77">
        <v>1.0</v>
      </c>
      <c r="D21" s="77">
        <v>1.0</v>
      </c>
      <c r="E21" s="77">
        <v>0.0</v>
      </c>
      <c r="F21" s="77">
        <v>2.0</v>
      </c>
      <c r="G21" s="77">
        <v>0.0</v>
      </c>
      <c r="H21" s="77">
        <v>3.0</v>
      </c>
      <c r="I21" s="77">
        <v>0.0</v>
      </c>
      <c r="J21" s="77">
        <v>2.0</v>
      </c>
    </row>
    <row r="22" ht="22.5" customHeight="1">
      <c r="A22" s="77">
        <v>21.0</v>
      </c>
      <c r="B22" s="77">
        <v>3.0</v>
      </c>
      <c r="C22" s="77">
        <v>0.0</v>
      </c>
      <c r="D22" s="77">
        <v>1.0</v>
      </c>
      <c r="E22" s="77">
        <v>1.0</v>
      </c>
      <c r="F22" s="77">
        <v>1.0</v>
      </c>
      <c r="G22" s="77">
        <v>2.0</v>
      </c>
      <c r="H22" s="77">
        <v>1.0</v>
      </c>
      <c r="I22" s="77">
        <v>0.0</v>
      </c>
      <c r="J22" s="77">
        <v>2.0</v>
      </c>
    </row>
    <row r="23" ht="22.5" customHeight="1">
      <c r="A23" s="77">
        <v>22.0</v>
      </c>
      <c r="B23" s="77">
        <v>4.0</v>
      </c>
      <c r="C23" s="77">
        <v>0.0</v>
      </c>
      <c r="D23" s="77">
        <v>0.0</v>
      </c>
      <c r="E23" s="77">
        <v>1.0</v>
      </c>
      <c r="F23" s="77">
        <v>0.0</v>
      </c>
      <c r="G23" s="77">
        <v>2.0</v>
      </c>
      <c r="H23" s="77">
        <v>1.0</v>
      </c>
      <c r="I23" s="77">
        <v>0.0</v>
      </c>
      <c r="J23" s="77">
        <v>2.0</v>
      </c>
    </row>
    <row r="24" ht="22.5" customHeight="1">
      <c r="A24" s="77">
        <v>23.0</v>
      </c>
      <c r="B24" s="77">
        <v>5.0</v>
      </c>
      <c r="C24" s="77">
        <v>0.0</v>
      </c>
      <c r="D24" s="77">
        <v>0.0</v>
      </c>
      <c r="E24" s="77">
        <v>1.0</v>
      </c>
      <c r="F24" s="77">
        <v>0.0</v>
      </c>
      <c r="G24" s="77">
        <v>0.0</v>
      </c>
      <c r="H24" s="77">
        <v>1.0</v>
      </c>
      <c r="I24" s="77">
        <v>1.0</v>
      </c>
      <c r="J24" s="77">
        <v>2.0</v>
      </c>
    </row>
    <row r="25" ht="22.5" customHeight="1">
      <c r="A25" s="77">
        <v>24.0</v>
      </c>
      <c r="B25" s="77">
        <v>5.0</v>
      </c>
      <c r="C25" s="77">
        <v>0.0</v>
      </c>
      <c r="D25" s="77">
        <v>0.0</v>
      </c>
      <c r="E25" s="77">
        <v>1.0</v>
      </c>
      <c r="F25" s="77">
        <v>0.0</v>
      </c>
      <c r="G25" s="77">
        <v>1.0</v>
      </c>
      <c r="H25" s="77">
        <v>1.0</v>
      </c>
      <c r="I25" s="77">
        <v>1.0</v>
      </c>
      <c r="J25" s="77">
        <v>2.0</v>
      </c>
    </row>
    <row r="26" ht="22.5" customHeight="1">
      <c r="A26" s="77">
        <v>25.0</v>
      </c>
      <c r="B26" s="77">
        <v>5.0</v>
      </c>
      <c r="C26" s="77">
        <v>0.0</v>
      </c>
      <c r="D26" s="77">
        <v>0.0</v>
      </c>
      <c r="E26" s="77">
        <v>0.0</v>
      </c>
      <c r="F26" s="77">
        <v>0.0</v>
      </c>
      <c r="G26" s="77">
        <v>0.0</v>
      </c>
      <c r="H26" s="77">
        <v>1.0</v>
      </c>
      <c r="I26" s="77">
        <v>1.0</v>
      </c>
      <c r="J26" s="77">
        <v>2.0</v>
      </c>
    </row>
    <row r="27" ht="22.5" customHeight="1">
      <c r="A27" s="77">
        <v>26.0</v>
      </c>
      <c r="B27" s="77">
        <v>5.0</v>
      </c>
      <c r="C27" s="77">
        <v>0.0</v>
      </c>
      <c r="D27" s="77">
        <v>0.0</v>
      </c>
      <c r="E27" s="77">
        <v>1.0</v>
      </c>
      <c r="F27" s="77">
        <v>0.0</v>
      </c>
      <c r="G27" s="77">
        <v>1.0</v>
      </c>
      <c r="H27" s="77">
        <v>1.0</v>
      </c>
      <c r="I27" s="77">
        <v>1.0</v>
      </c>
      <c r="J27" s="77">
        <v>3.0</v>
      </c>
    </row>
    <row r="28" ht="22.5" customHeight="1">
      <c r="A28" s="77">
        <v>27.0</v>
      </c>
      <c r="B28" s="77">
        <v>5.0</v>
      </c>
      <c r="C28" s="77">
        <v>0.0</v>
      </c>
      <c r="D28" s="77">
        <v>0.0</v>
      </c>
      <c r="E28" s="77">
        <v>1.0</v>
      </c>
      <c r="F28" s="77">
        <v>0.0</v>
      </c>
      <c r="G28" s="77">
        <v>2.0</v>
      </c>
      <c r="H28" s="77">
        <v>1.0</v>
      </c>
      <c r="I28" s="77">
        <v>0.0</v>
      </c>
      <c r="J28" s="77">
        <v>2.0</v>
      </c>
    </row>
    <row r="29" ht="22.5" customHeight="1">
      <c r="A29" s="77">
        <v>28.0</v>
      </c>
      <c r="B29" s="77">
        <v>5.0</v>
      </c>
      <c r="C29" s="77">
        <v>1.0</v>
      </c>
      <c r="D29" s="77">
        <v>1.0</v>
      </c>
      <c r="E29" s="77">
        <v>0.0</v>
      </c>
      <c r="F29" s="77">
        <v>2.0</v>
      </c>
      <c r="G29" s="77">
        <v>2.0</v>
      </c>
      <c r="H29" s="77">
        <v>3.0</v>
      </c>
      <c r="I29" s="77">
        <v>0.0</v>
      </c>
      <c r="J29" s="77">
        <v>2.0</v>
      </c>
    </row>
    <row r="30" ht="22.5" customHeight="1">
      <c r="A30" s="77">
        <v>29.0</v>
      </c>
      <c r="B30" s="77">
        <v>5.0</v>
      </c>
      <c r="C30" s="77">
        <v>0.0</v>
      </c>
      <c r="D30" s="77">
        <v>0.0</v>
      </c>
      <c r="E30" s="77">
        <v>1.0</v>
      </c>
      <c r="F30" s="77">
        <v>0.0</v>
      </c>
      <c r="G30" s="77">
        <v>1.0</v>
      </c>
      <c r="H30" s="77">
        <v>1.0</v>
      </c>
      <c r="I30" s="77">
        <v>1.0</v>
      </c>
      <c r="J30" s="77">
        <v>2.0</v>
      </c>
    </row>
    <row r="31" ht="22.5" customHeight="1">
      <c r="A31" s="77">
        <v>30.0</v>
      </c>
      <c r="B31" s="77">
        <v>5.0</v>
      </c>
      <c r="C31" s="77">
        <v>1.0</v>
      </c>
      <c r="D31" s="77">
        <v>1.0</v>
      </c>
      <c r="E31" s="77">
        <v>0.0</v>
      </c>
      <c r="F31" s="77">
        <v>2.0</v>
      </c>
      <c r="G31" s="77">
        <v>2.0</v>
      </c>
      <c r="H31" s="77">
        <v>1.0</v>
      </c>
      <c r="I31" s="77">
        <v>0.0</v>
      </c>
      <c r="J31" s="77">
        <v>3.0</v>
      </c>
    </row>
    <row r="32" ht="22.5" customHeight="1">
      <c r="A32" s="77">
        <v>31.0</v>
      </c>
      <c r="B32" s="77">
        <v>5.0</v>
      </c>
      <c r="C32" s="77">
        <v>0.0</v>
      </c>
      <c r="D32" s="77">
        <v>0.0</v>
      </c>
      <c r="E32" s="77">
        <v>1.0</v>
      </c>
      <c r="F32" s="77">
        <v>0.0</v>
      </c>
      <c r="G32" s="77">
        <v>1.0</v>
      </c>
      <c r="H32" s="77">
        <v>1.0</v>
      </c>
      <c r="I32" s="77">
        <v>1.0</v>
      </c>
      <c r="J32" s="77">
        <v>2.0</v>
      </c>
    </row>
    <row r="33" ht="22.5" customHeight="1">
      <c r="A33" s="77">
        <v>32.0</v>
      </c>
      <c r="B33" s="77">
        <v>2.0</v>
      </c>
      <c r="C33" s="77">
        <v>1.0</v>
      </c>
      <c r="D33" s="77">
        <v>1.0</v>
      </c>
      <c r="E33" s="77">
        <v>0.0</v>
      </c>
      <c r="F33" s="77">
        <v>2.0</v>
      </c>
      <c r="G33" s="77">
        <v>0.0</v>
      </c>
      <c r="H33" s="77">
        <v>2.0</v>
      </c>
      <c r="I33" s="77">
        <v>0.0</v>
      </c>
      <c r="J33" s="77">
        <v>2.0</v>
      </c>
    </row>
    <row r="34" ht="22.5" customHeight="1">
      <c r="A34" s="77">
        <v>33.0</v>
      </c>
      <c r="B34" s="77">
        <v>3.0</v>
      </c>
      <c r="C34" s="77">
        <v>0.0</v>
      </c>
      <c r="D34" s="77">
        <v>0.0</v>
      </c>
      <c r="E34" s="77">
        <v>1.0</v>
      </c>
      <c r="F34" s="77">
        <v>0.0</v>
      </c>
      <c r="G34" s="77">
        <v>0.0</v>
      </c>
      <c r="H34" s="77">
        <v>2.0</v>
      </c>
      <c r="I34" s="77">
        <v>0.0</v>
      </c>
      <c r="J34" s="77">
        <v>2.0</v>
      </c>
    </row>
    <row r="35" ht="22.5" customHeight="1">
      <c r="A35" s="77">
        <v>34.0</v>
      </c>
      <c r="B35" s="77">
        <v>5.0</v>
      </c>
      <c r="C35" s="77">
        <v>0.0</v>
      </c>
      <c r="D35" s="77">
        <v>0.0</v>
      </c>
      <c r="E35" s="77">
        <v>1.0</v>
      </c>
      <c r="F35" s="77">
        <v>0.0</v>
      </c>
      <c r="G35" s="77">
        <v>1.0</v>
      </c>
      <c r="H35" s="77">
        <v>1.0</v>
      </c>
      <c r="I35" s="77">
        <v>1.0</v>
      </c>
      <c r="J35" s="77">
        <v>3.0</v>
      </c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5"/>
  </cols>
  <sheetData>
    <row r="1" ht="22.5" customHeight="1">
      <c r="A1" s="89" t="s">
        <v>19</v>
      </c>
      <c r="B1" s="90" t="s">
        <v>332</v>
      </c>
    </row>
    <row r="2" ht="22.5" customHeight="1">
      <c r="A2" s="89">
        <v>1.0</v>
      </c>
      <c r="B2" s="77">
        <v>63.57</v>
      </c>
    </row>
    <row r="3" ht="22.5" customHeight="1">
      <c r="A3" s="89">
        <v>2.0</v>
      </c>
      <c r="B3" s="77">
        <v>50.22</v>
      </c>
    </row>
    <row r="4" ht="22.5" customHeight="1">
      <c r="A4" s="89">
        <v>3.0</v>
      </c>
      <c r="B4" s="77">
        <v>63.17</v>
      </c>
      <c r="F4" s="91"/>
      <c r="G4" s="91"/>
    </row>
    <row r="5" ht="22.5" customHeight="1">
      <c r="A5" s="89">
        <v>4.0</v>
      </c>
      <c r="B5" s="77">
        <v>35.62</v>
      </c>
      <c r="F5" s="92"/>
      <c r="G5" s="92"/>
    </row>
    <row r="6" ht="22.5" customHeight="1">
      <c r="A6" s="89">
        <v>5.0</v>
      </c>
      <c r="B6" s="77">
        <v>39.98</v>
      </c>
      <c r="F6" s="92"/>
      <c r="G6" s="92"/>
    </row>
    <row r="7" ht="22.5" customHeight="1">
      <c r="A7" s="89">
        <v>6.0</v>
      </c>
      <c r="B7" s="77">
        <v>41.67</v>
      </c>
      <c r="F7" s="92"/>
      <c r="G7" s="92"/>
    </row>
    <row r="8" ht="22.5" customHeight="1">
      <c r="A8" s="89">
        <v>7.0</v>
      </c>
      <c r="B8" s="77">
        <v>48.88</v>
      </c>
      <c r="F8" s="92"/>
      <c r="G8" s="92"/>
    </row>
    <row r="9" ht="22.5" customHeight="1">
      <c r="A9" s="89">
        <v>8.0</v>
      </c>
      <c r="B9" s="77">
        <v>45.77</v>
      </c>
      <c r="F9" s="92"/>
      <c r="G9" s="92"/>
    </row>
    <row r="10" ht="22.5" customHeight="1">
      <c r="A10" s="89">
        <v>9.0</v>
      </c>
      <c r="B10" s="77">
        <v>57.61</v>
      </c>
      <c r="F10" s="92"/>
      <c r="G10" s="92"/>
    </row>
    <row r="11" ht="22.5" customHeight="1">
      <c r="A11" s="89">
        <v>10.0</v>
      </c>
      <c r="B11" s="77">
        <v>55.44</v>
      </c>
      <c r="F11" s="92"/>
      <c r="G11" s="92"/>
    </row>
    <row r="12" ht="22.5" customHeight="1">
      <c r="A12" s="89">
        <v>11.0</v>
      </c>
      <c r="B12" s="77">
        <v>49.35</v>
      </c>
      <c r="F12" s="92"/>
      <c r="G12" s="92"/>
    </row>
    <row r="13" ht="22.5" customHeight="1">
      <c r="A13" s="89">
        <v>12.0</v>
      </c>
      <c r="B13" s="77">
        <v>48.44</v>
      </c>
      <c r="F13" s="92"/>
      <c r="G13" s="92"/>
    </row>
    <row r="14" ht="22.5" customHeight="1">
      <c r="A14" s="89">
        <v>13.0</v>
      </c>
      <c r="B14" s="77">
        <v>49.31</v>
      </c>
      <c r="F14" s="92"/>
      <c r="G14" s="92"/>
    </row>
    <row r="15" ht="22.5" customHeight="1">
      <c r="A15" s="89">
        <v>14.0</v>
      </c>
      <c r="B15" s="77">
        <v>62.38</v>
      </c>
      <c r="F15" s="92"/>
      <c r="G15" s="92"/>
    </row>
    <row r="16" ht="22.5" customHeight="1">
      <c r="A16" s="89">
        <v>15.0</v>
      </c>
      <c r="B16" s="77">
        <v>58.34</v>
      </c>
      <c r="F16" s="92"/>
      <c r="G16" s="92"/>
    </row>
    <row r="17" ht="22.5" customHeight="1">
      <c r="A17" s="89">
        <v>16.0</v>
      </c>
      <c r="B17" s="77">
        <v>61.25</v>
      </c>
      <c r="F17" s="92"/>
      <c r="G17" s="92"/>
    </row>
    <row r="18" ht="22.5" customHeight="1">
      <c r="A18" s="89">
        <v>17.0</v>
      </c>
      <c r="B18" s="77">
        <v>55.41</v>
      </c>
      <c r="F18" s="92"/>
      <c r="G18" s="92"/>
    </row>
    <row r="19" ht="22.5" customHeight="1">
      <c r="A19" s="89">
        <v>18.0</v>
      </c>
      <c r="B19" s="77">
        <v>55.91</v>
      </c>
      <c r="F19" s="92"/>
      <c r="G19" s="92"/>
    </row>
    <row r="20" ht="22.5" customHeight="1">
      <c r="A20" s="89">
        <v>19.0</v>
      </c>
      <c r="B20" s="77">
        <v>46.16</v>
      </c>
      <c r="F20" s="92"/>
      <c r="G20" s="92"/>
    </row>
    <row r="21" ht="22.5" customHeight="1">
      <c r="A21" s="89">
        <v>20.0</v>
      </c>
      <c r="B21" s="77">
        <v>47.47</v>
      </c>
      <c r="F21" s="92"/>
      <c r="G21" s="92"/>
    </row>
    <row r="22" ht="22.5" customHeight="1">
      <c r="A22" s="89">
        <v>21.0</v>
      </c>
      <c r="B22" s="77">
        <v>85.06</v>
      </c>
      <c r="F22" s="92"/>
      <c r="G22" s="92"/>
    </row>
    <row r="23" ht="22.5" customHeight="1">
      <c r="A23" s="89">
        <v>22.0</v>
      </c>
      <c r="B23" s="77">
        <v>81.74</v>
      </c>
      <c r="F23" s="92"/>
      <c r="G23" s="92"/>
    </row>
    <row r="24" ht="22.5" customHeight="1">
      <c r="A24" s="89">
        <v>23.0</v>
      </c>
      <c r="B24" s="77">
        <v>64.09</v>
      </c>
      <c r="F24" s="92"/>
      <c r="G24" s="92"/>
    </row>
    <row r="25" ht="22.5" customHeight="1">
      <c r="A25" s="89">
        <v>24.0</v>
      </c>
      <c r="B25" s="77">
        <v>91.84</v>
      </c>
      <c r="F25" s="92"/>
      <c r="G25" s="92"/>
    </row>
    <row r="26" ht="22.5" customHeight="1">
      <c r="A26" s="89">
        <v>25.0</v>
      </c>
      <c r="B26" s="77">
        <v>55.31</v>
      </c>
      <c r="F26" s="92"/>
      <c r="G26" s="92"/>
    </row>
    <row r="27" ht="22.5" customHeight="1">
      <c r="A27" s="89">
        <v>26.0</v>
      </c>
      <c r="B27" s="77">
        <v>59.63</v>
      </c>
      <c r="F27" s="92"/>
      <c r="G27" s="92"/>
    </row>
    <row r="28" ht="22.5" customHeight="1">
      <c r="A28" s="89">
        <v>27.0</v>
      </c>
      <c r="B28" s="77">
        <v>54.12</v>
      </c>
      <c r="F28" s="92"/>
      <c r="G28" s="92"/>
    </row>
    <row r="29" ht="22.5" customHeight="1">
      <c r="A29" s="89">
        <v>28.0</v>
      </c>
      <c r="B29" s="77">
        <v>63.24</v>
      </c>
      <c r="F29" s="92"/>
      <c r="G29" s="92"/>
    </row>
    <row r="30" ht="22.5" customHeight="1">
      <c r="A30" s="89">
        <v>29.0</v>
      </c>
      <c r="B30" s="77">
        <v>65.42</v>
      </c>
      <c r="F30" s="92"/>
      <c r="G30" s="92"/>
    </row>
    <row r="31" ht="22.5" customHeight="1">
      <c r="A31" s="89">
        <v>30.0</v>
      </c>
      <c r="B31" s="77">
        <v>52.39</v>
      </c>
      <c r="F31" s="92"/>
      <c r="G31" s="92"/>
    </row>
    <row r="32" ht="22.5" customHeight="1">
      <c r="A32" s="89">
        <v>31.0</v>
      </c>
      <c r="B32" s="77">
        <v>94.91</v>
      </c>
      <c r="F32" s="92"/>
      <c r="G32" s="92"/>
    </row>
    <row r="33" ht="22.5" customHeight="1">
      <c r="A33" s="89">
        <v>32.0</v>
      </c>
      <c r="B33" s="77">
        <v>67.47</v>
      </c>
      <c r="F33" s="92"/>
      <c r="G33" s="92"/>
    </row>
    <row r="34" ht="22.5" customHeight="1">
      <c r="A34" s="89">
        <v>33.0</v>
      </c>
      <c r="B34" s="77">
        <v>79.55</v>
      </c>
      <c r="F34" s="92"/>
      <c r="G34" s="92"/>
    </row>
    <row r="35" ht="22.5" customHeight="1">
      <c r="A35" s="89">
        <v>34.0</v>
      </c>
      <c r="B35" s="77">
        <v>72.29</v>
      </c>
      <c r="F35" s="92"/>
      <c r="G35" s="92"/>
    </row>
    <row r="36">
      <c r="F36" s="92"/>
      <c r="G36" s="92"/>
    </row>
    <row r="37">
      <c r="F37" s="92"/>
      <c r="G37" s="92"/>
    </row>
    <row r="38">
      <c r="F38" s="92"/>
      <c r="G38" s="92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25"/>
    <col customWidth="1" min="10" max="10" width="16.88"/>
    <col customWidth="1" min="11" max="11" width="22.63"/>
    <col customWidth="1" min="12" max="13" width="21.0"/>
    <col customWidth="1" min="14" max="14" width="17.0"/>
    <col customWidth="1" min="15" max="15" width="19.88"/>
    <col customWidth="1" min="16" max="16" width="20.13"/>
  </cols>
  <sheetData>
    <row r="1" ht="22.5" customHeight="1">
      <c r="A1" s="75" t="s">
        <v>19</v>
      </c>
      <c r="B1" s="94" t="s">
        <v>112</v>
      </c>
      <c r="C1" s="95" t="s">
        <v>333</v>
      </c>
      <c r="D1" s="95" t="s">
        <v>334</v>
      </c>
      <c r="E1" s="95" t="s">
        <v>335</v>
      </c>
      <c r="F1" s="95" t="s">
        <v>336</v>
      </c>
      <c r="G1" s="95" t="s">
        <v>337</v>
      </c>
      <c r="H1" s="95" t="s">
        <v>338</v>
      </c>
      <c r="I1" s="95" t="s">
        <v>339</v>
      </c>
      <c r="J1" s="95" t="s">
        <v>340</v>
      </c>
      <c r="K1" s="95" t="s">
        <v>341</v>
      </c>
      <c r="L1" s="96" t="s">
        <v>342</v>
      </c>
      <c r="M1" s="95" t="s">
        <v>254</v>
      </c>
      <c r="N1" s="95" t="s">
        <v>343</v>
      </c>
      <c r="O1" s="95" t="s">
        <v>344</v>
      </c>
      <c r="P1" s="95" t="s">
        <v>345</v>
      </c>
    </row>
    <row r="2" ht="22.5" customHeight="1">
      <c r="A2" s="77">
        <v>1.0</v>
      </c>
      <c r="B2" s="97">
        <v>0.288</v>
      </c>
      <c r="C2" s="77">
        <v>6.36041587608</v>
      </c>
      <c r="D2" s="77">
        <v>63604.1587608</v>
      </c>
      <c r="E2" s="77">
        <v>1174.98540292</v>
      </c>
      <c r="F2" s="77">
        <v>5.43288177115</v>
      </c>
      <c r="G2" s="77">
        <v>53.01563241047</v>
      </c>
      <c r="H2" s="77">
        <v>2023.0</v>
      </c>
      <c r="I2" s="77">
        <v>6.360415876</v>
      </c>
      <c r="J2" s="77">
        <v>4.5</v>
      </c>
      <c r="K2" s="77">
        <v>0.70750090681649</v>
      </c>
      <c r="L2" s="52"/>
      <c r="M2" s="52" t="s">
        <v>259</v>
      </c>
      <c r="N2" s="77">
        <v>781.545971053843</v>
      </c>
      <c r="O2" s="77">
        <v>3.0</v>
      </c>
      <c r="P2" s="52" t="s">
        <v>262</v>
      </c>
    </row>
    <row r="3" ht="22.5" customHeight="1">
      <c r="A3" s="77">
        <v>2.0</v>
      </c>
      <c r="B3" s="97">
        <v>0.0</v>
      </c>
      <c r="C3" s="77">
        <v>3.27939038475</v>
      </c>
      <c r="D3" s="77">
        <v>32793.9038475</v>
      </c>
      <c r="E3" s="77">
        <v>752.612467262</v>
      </c>
      <c r="F3" s="77">
        <v>5.43033087897</v>
      </c>
      <c r="G3" s="77">
        <v>52.910081835422</v>
      </c>
      <c r="H3" s="77">
        <v>2023.0</v>
      </c>
      <c r="I3" s="77">
        <v>3.279390385</v>
      </c>
      <c r="J3" s="77">
        <v>0.0</v>
      </c>
      <c r="K3" s="77">
        <v>0.0</v>
      </c>
      <c r="L3" s="53" t="s">
        <v>261</v>
      </c>
      <c r="M3" s="52" t="s">
        <v>266</v>
      </c>
      <c r="N3" s="52"/>
      <c r="O3" s="52"/>
      <c r="P3" s="52" t="s">
        <v>268</v>
      </c>
    </row>
    <row r="4" ht="22.5" customHeight="1">
      <c r="A4" s="77">
        <v>3.0</v>
      </c>
      <c r="B4" s="97">
        <v>0.045</v>
      </c>
      <c r="C4" s="77">
        <v>3.67807004264</v>
      </c>
      <c r="D4" s="77">
        <v>36780.7004264</v>
      </c>
      <c r="E4" s="77">
        <v>825.734820026</v>
      </c>
      <c r="F4" s="77">
        <v>5.47056928558</v>
      </c>
      <c r="G4" s="77">
        <v>52.928293722964</v>
      </c>
      <c r="H4" s="77">
        <v>2023.0</v>
      </c>
      <c r="I4" s="77">
        <v>3.678070043</v>
      </c>
      <c r="J4" s="77">
        <v>0.0</v>
      </c>
      <c r="K4" s="77">
        <v>0.0</v>
      </c>
      <c r="L4" s="53" t="s">
        <v>267</v>
      </c>
      <c r="M4" s="52" t="s">
        <v>274</v>
      </c>
      <c r="N4" s="52"/>
      <c r="O4" s="52"/>
      <c r="P4" s="52" t="s">
        <v>275</v>
      </c>
    </row>
    <row r="5" ht="22.5" customHeight="1">
      <c r="A5" s="77">
        <v>4.0</v>
      </c>
      <c r="B5" s="97">
        <v>0.0</v>
      </c>
      <c r="C5" s="77">
        <v>2.04244524204</v>
      </c>
      <c r="D5" s="77">
        <v>20424.4524204</v>
      </c>
      <c r="E5" s="77">
        <v>610.839830033</v>
      </c>
      <c r="F5" s="77">
        <v>5.39907861232</v>
      </c>
      <c r="G5" s="77">
        <v>52.892456441349</v>
      </c>
      <c r="H5" s="77">
        <v>2023.0</v>
      </c>
      <c r="I5" s="77">
        <v>2.042445242</v>
      </c>
      <c r="J5" s="77">
        <v>0.0</v>
      </c>
      <c r="K5" s="77">
        <v>0.0</v>
      </c>
      <c r="L5" s="53" t="s">
        <v>263</v>
      </c>
      <c r="M5" s="52" t="s">
        <v>266</v>
      </c>
      <c r="N5" s="52"/>
      <c r="O5" s="52"/>
      <c r="P5" s="52" t="s">
        <v>268</v>
      </c>
    </row>
    <row r="6" ht="22.5" customHeight="1">
      <c r="A6" s="77">
        <v>5.0</v>
      </c>
      <c r="B6" s="97">
        <v>0.0</v>
      </c>
      <c r="C6" s="77">
        <v>2.84424672013</v>
      </c>
      <c r="D6" s="77">
        <v>28442.4672013</v>
      </c>
      <c r="E6" s="77">
        <v>763.439156147</v>
      </c>
      <c r="F6" s="77">
        <v>5.43789630429</v>
      </c>
      <c r="G6" s="77">
        <v>52.97849816396</v>
      </c>
      <c r="H6" s="77">
        <v>2023.0</v>
      </c>
      <c r="I6" s="77">
        <v>2.84424672</v>
      </c>
      <c r="J6" s="77">
        <v>0.0</v>
      </c>
      <c r="K6" s="77">
        <v>0.0</v>
      </c>
      <c r="L6" s="53" t="s">
        <v>267</v>
      </c>
      <c r="M6" s="52" t="s">
        <v>266</v>
      </c>
      <c r="N6" s="52"/>
      <c r="O6" s="52"/>
      <c r="P6" s="52" t="s">
        <v>268</v>
      </c>
    </row>
    <row r="7" ht="22.5" customHeight="1">
      <c r="A7" s="77">
        <v>6.0</v>
      </c>
      <c r="B7" s="97">
        <v>0.226</v>
      </c>
      <c r="C7" s="77">
        <v>11.44682949874</v>
      </c>
      <c r="D7" s="77">
        <v>114468.294987</v>
      </c>
      <c r="E7" s="77">
        <v>1506.6202837</v>
      </c>
      <c r="F7" s="77">
        <v>5.42227439264</v>
      </c>
      <c r="G7" s="77">
        <v>53.008341753576</v>
      </c>
      <c r="H7" s="77">
        <v>2023.0</v>
      </c>
      <c r="I7" s="77">
        <v>11.4468295</v>
      </c>
      <c r="J7" s="77">
        <v>3.0</v>
      </c>
      <c r="K7" s="77">
        <v>0.262081303823037</v>
      </c>
      <c r="L7" s="52"/>
      <c r="M7" s="52" t="s">
        <v>259</v>
      </c>
      <c r="N7" s="77">
        <v>94.9959133044386</v>
      </c>
      <c r="O7" s="77">
        <v>3.0</v>
      </c>
      <c r="P7" s="52" t="s">
        <v>286</v>
      </c>
    </row>
    <row r="8" ht="22.5" customHeight="1">
      <c r="A8" s="77">
        <v>7.0</v>
      </c>
      <c r="B8" s="97">
        <v>0.0</v>
      </c>
      <c r="C8" s="77">
        <v>1.38262355649</v>
      </c>
      <c r="D8" s="77">
        <v>13826.2355649</v>
      </c>
      <c r="E8" s="77">
        <v>602.086603729</v>
      </c>
      <c r="F8" s="77">
        <v>5.43296170839</v>
      </c>
      <c r="G8" s="77">
        <v>53.006824349285</v>
      </c>
      <c r="H8" s="77">
        <v>2023.0</v>
      </c>
      <c r="I8" s="77">
        <v>1.382623556</v>
      </c>
      <c r="J8" s="77">
        <v>0.0</v>
      </c>
      <c r="K8" s="77">
        <v>0.0</v>
      </c>
      <c r="L8" s="53" t="s">
        <v>267</v>
      </c>
      <c r="M8" s="52" t="s">
        <v>266</v>
      </c>
      <c r="N8" s="52"/>
      <c r="O8" s="52"/>
      <c r="P8" s="52" t="s">
        <v>268</v>
      </c>
    </row>
    <row r="9" ht="22.5" customHeight="1">
      <c r="A9" s="77">
        <v>8.0</v>
      </c>
      <c r="B9" s="97">
        <v>0.792</v>
      </c>
      <c r="C9" s="77">
        <v>1.89356360331</v>
      </c>
      <c r="D9" s="77">
        <v>18935.6360331</v>
      </c>
      <c r="E9" s="77">
        <v>614.543241836</v>
      </c>
      <c r="F9" s="77">
        <v>5.41982692888</v>
      </c>
      <c r="G9" s="77">
        <v>52.954906069939</v>
      </c>
      <c r="H9" s="77">
        <v>2023.0</v>
      </c>
      <c r="I9" s="77">
        <v>1.893563603</v>
      </c>
      <c r="J9" s="77">
        <v>2.0</v>
      </c>
      <c r="K9" s="77">
        <v>1.05620957058499</v>
      </c>
      <c r="L9" s="52"/>
      <c r="M9" s="52" t="s">
        <v>274</v>
      </c>
      <c r="N9" s="52"/>
      <c r="O9" s="52"/>
      <c r="P9" s="52" t="s">
        <v>275</v>
      </c>
    </row>
    <row r="10" ht="22.5" customHeight="1">
      <c r="A10" s="77">
        <v>9.0</v>
      </c>
      <c r="B10" s="97">
        <v>0.964</v>
      </c>
      <c r="C10" s="77">
        <v>3.71580489971</v>
      </c>
      <c r="D10" s="77">
        <v>37158.0489971</v>
      </c>
      <c r="E10" s="77">
        <v>771.194984565</v>
      </c>
      <c r="F10" s="77">
        <v>5.41765557724</v>
      </c>
      <c r="G10" s="77">
        <v>52.95855882934</v>
      </c>
      <c r="H10" s="77">
        <v>2023.0</v>
      </c>
      <c r="I10" s="77">
        <v>3.7158049</v>
      </c>
      <c r="J10" s="77">
        <v>5.5</v>
      </c>
      <c r="K10" s="77">
        <v>1.4801638266853</v>
      </c>
      <c r="L10" s="52"/>
      <c r="M10" s="52" t="s">
        <v>274</v>
      </c>
      <c r="N10" s="52"/>
      <c r="O10" s="52"/>
      <c r="P10" s="52" t="s">
        <v>275</v>
      </c>
    </row>
    <row r="11" ht="22.5" customHeight="1">
      <c r="A11" s="77">
        <v>10.0</v>
      </c>
      <c r="B11" s="97">
        <v>0.812</v>
      </c>
      <c r="C11" s="77">
        <v>3.69289566516</v>
      </c>
      <c r="D11" s="77">
        <v>36928.9566516</v>
      </c>
      <c r="E11" s="77">
        <v>808.268712974</v>
      </c>
      <c r="F11" s="77">
        <v>5.4447613972</v>
      </c>
      <c r="G11" s="77">
        <v>52.93351468312</v>
      </c>
      <c r="H11" s="77">
        <v>2023.0</v>
      </c>
      <c r="I11" s="77">
        <v>3.692895665</v>
      </c>
      <c r="J11" s="77">
        <v>1.5</v>
      </c>
      <c r="K11" s="77">
        <v>0.406185317992189</v>
      </c>
      <c r="L11" s="52"/>
      <c r="M11" s="52" t="s">
        <v>259</v>
      </c>
      <c r="N11" s="77">
        <v>1538.96286086642</v>
      </c>
      <c r="O11" s="77">
        <v>3.0</v>
      </c>
      <c r="P11" s="52" t="s">
        <v>258</v>
      </c>
    </row>
    <row r="12" ht="22.5" customHeight="1">
      <c r="A12" s="77">
        <v>11.0</v>
      </c>
      <c r="B12" s="97">
        <v>0.323</v>
      </c>
      <c r="C12" s="77">
        <v>3.61671858442</v>
      </c>
      <c r="D12" s="77">
        <v>36167.1858442</v>
      </c>
      <c r="E12" s="77">
        <v>761.139987177</v>
      </c>
      <c r="F12" s="77">
        <v>5.42814304569</v>
      </c>
      <c r="G12" s="77">
        <v>52.937891496083</v>
      </c>
      <c r="H12" s="77">
        <v>2023.0</v>
      </c>
      <c r="I12" s="77">
        <v>3.616718584</v>
      </c>
      <c r="J12" s="77">
        <v>2.0</v>
      </c>
      <c r="K12" s="77">
        <v>0.552987453557432</v>
      </c>
      <c r="L12" s="52"/>
      <c r="M12" s="52" t="s">
        <v>274</v>
      </c>
      <c r="N12" s="52"/>
      <c r="O12" s="52"/>
      <c r="P12" s="52" t="s">
        <v>275</v>
      </c>
    </row>
    <row r="13" ht="22.5" customHeight="1">
      <c r="A13" s="77">
        <v>12.0</v>
      </c>
      <c r="B13" s="97">
        <v>0.098</v>
      </c>
      <c r="C13" s="77">
        <v>11.04631296646</v>
      </c>
      <c r="D13" s="77">
        <v>110463.129664</v>
      </c>
      <c r="E13" s="77">
        <v>1856.99447581</v>
      </c>
      <c r="F13" s="77">
        <v>5.42902998391</v>
      </c>
      <c r="G13" s="77">
        <v>52.9419839043</v>
      </c>
      <c r="H13" s="77">
        <v>2023.0</v>
      </c>
      <c r="I13" s="77">
        <v>11.04631297</v>
      </c>
      <c r="J13" s="77">
        <v>0.0</v>
      </c>
      <c r="K13" s="77">
        <v>0.0</v>
      </c>
      <c r="L13" s="53" t="s">
        <v>261</v>
      </c>
      <c r="M13" s="52" t="s">
        <v>274</v>
      </c>
      <c r="N13" s="52"/>
      <c r="O13" s="52"/>
      <c r="P13" s="52" t="s">
        <v>275</v>
      </c>
    </row>
    <row r="14" ht="22.5" customHeight="1">
      <c r="A14" s="77">
        <v>13.0</v>
      </c>
      <c r="B14" s="97">
        <v>0.095</v>
      </c>
      <c r="C14" s="77">
        <v>6.98534855785</v>
      </c>
      <c r="D14" s="77">
        <v>69853.4855785</v>
      </c>
      <c r="E14" s="77">
        <v>1081.69744217</v>
      </c>
      <c r="F14" s="77">
        <v>5.44254549234</v>
      </c>
      <c r="G14" s="77">
        <v>52.92959679549</v>
      </c>
      <c r="H14" s="77">
        <v>2023.0</v>
      </c>
      <c r="I14" s="77">
        <v>6.985348558</v>
      </c>
      <c r="J14" s="77">
        <v>0.0</v>
      </c>
      <c r="K14" s="77">
        <v>0.0</v>
      </c>
      <c r="L14" s="53" t="s">
        <v>267</v>
      </c>
      <c r="M14" s="52" t="s">
        <v>259</v>
      </c>
      <c r="N14" s="77">
        <v>100.066359747517</v>
      </c>
      <c r="O14" s="77">
        <v>2.0</v>
      </c>
      <c r="P14" s="52" t="s">
        <v>286</v>
      </c>
    </row>
    <row r="15" ht="22.5" customHeight="1">
      <c r="A15" s="77">
        <v>14.0</v>
      </c>
      <c r="B15" s="52"/>
      <c r="C15" s="77">
        <v>0.566</v>
      </c>
      <c r="D15" s="52"/>
      <c r="E15" s="52"/>
      <c r="F15" s="52"/>
      <c r="G15" s="52"/>
      <c r="H15" s="77">
        <v>2023.0</v>
      </c>
      <c r="I15" s="77">
        <v>0.566</v>
      </c>
      <c r="J15" s="77">
        <v>0.0</v>
      </c>
      <c r="K15" s="77">
        <v>0.0</v>
      </c>
      <c r="L15" s="53" t="s">
        <v>263</v>
      </c>
      <c r="M15" s="52" t="s">
        <v>259</v>
      </c>
      <c r="N15" s="77">
        <v>1424.23287262251</v>
      </c>
      <c r="O15" s="77">
        <v>5.0</v>
      </c>
      <c r="P15" s="52" t="s">
        <v>258</v>
      </c>
    </row>
    <row r="16" ht="22.5" customHeight="1">
      <c r="A16" s="77">
        <v>15.0</v>
      </c>
      <c r="B16" s="52"/>
      <c r="C16" s="77">
        <v>2.122</v>
      </c>
      <c r="D16" s="52"/>
      <c r="E16" s="52"/>
      <c r="F16" s="52"/>
      <c r="G16" s="52"/>
      <c r="H16" s="77">
        <v>2023.0</v>
      </c>
      <c r="I16" s="77">
        <v>2.122</v>
      </c>
      <c r="J16" s="77">
        <v>0.0</v>
      </c>
      <c r="K16" s="77">
        <v>0.0</v>
      </c>
      <c r="L16" s="53" t="s">
        <v>263</v>
      </c>
      <c r="M16" s="52" t="s">
        <v>259</v>
      </c>
      <c r="N16" s="77">
        <v>762.196197947493</v>
      </c>
      <c r="O16" s="77">
        <v>5.0</v>
      </c>
      <c r="P16" s="52" t="s">
        <v>286</v>
      </c>
    </row>
    <row r="17" ht="22.5" customHeight="1">
      <c r="A17" s="77">
        <v>16.0</v>
      </c>
      <c r="B17" s="52"/>
      <c r="C17" s="77">
        <v>1.341</v>
      </c>
      <c r="D17" s="52"/>
      <c r="E17" s="52"/>
      <c r="F17" s="52"/>
      <c r="G17" s="52"/>
      <c r="H17" s="77">
        <v>2023.0</v>
      </c>
      <c r="I17" s="77">
        <v>1.341</v>
      </c>
      <c r="J17" s="77">
        <v>0.0</v>
      </c>
      <c r="K17" s="77">
        <v>0.0</v>
      </c>
      <c r="L17" s="53" t="s">
        <v>263</v>
      </c>
      <c r="M17" s="52" t="s">
        <v>259</v>
      </c>
      <c r="N17" s="77">
        <v>332.115837863594</v>
      </c>
      <c r="O17" s="77">
        <v>3.0</v>
      </c>
      <c r="P17" s="52" t="s">
        <v>286</v>
      </c>
    </row>
    <row r="18" ht="22.5" customHeight="1">
      <c r="A18" s="77">
        <v>17.0</v>
      </c>
      <c r="B18" s="52"/>
      <c r="C18" s="77">
        <v>8.801</v>
      </c>
      <c r="D18" s="52"/>
      <c r="E18" s="52"/>
      <c r="F18" s="52"/>
      <c r="G18" s="52"/>
      <c r="H18" s="77">
        <v>2023.0</v>
      </c>
      <c r="I18" s="77">
        <v>8.801</v>
      </c>
      <c r="J18" s="77">
        <v>0.0</v>
      </c>
      <c r="K18" s="77">
        <v>0.0</v>
      </c>
      <c r="L18" s="53" t="s">
        <v>263</v>
      </c>
      <c r="M18" s="52" t="s">
        <v>259</v>
      </c>
      <c r="N18" s="77">
        <v>1393.58179512295</v>
      </c>
      <c r="O18" s="77">
        <v>5.0</v>
      </c>
      <c r="P18" s="52" t="s">
        <v>258</v>
      </c>
    </row>
    <row r="19" ht="22.5" customHeight="1">
      <c r="A19" s="77">
        <v>18.0</v>
      </c>
      <c r="B19" s="52"/>
      <c r="C19" s="77">
        <v>0.864</v>
      </c>
      <c r="D19" s="52"/>
      <c r="E19" s="52"/>
      <c r="F19" s="52"/>
      <c r="G19" s="52"/>
      <c r="H19" s="77">
        <v>2023.0</v>
      </c>
      <c r="I19" s="77">
        <v>0.864</v>
      </c>
      <c r="J19" s="77">
        <v>0.0</v>
      </c>
      <c r="K19" s="77">
        <v>0.0</v>
      </c>
      <c r="L19" s="53" t="s">
        <v>261</v>
      </c>
      <c r="M19" s="52" t="s">
        <v>259</v>
      </c>
      <c r="N19" s="77">
        <v>203.173188552002</v>
      </c>
      <c r="O19" s="77">
        <v>2.0</v>
      </c>
      <c r="P19" s="52" t="s">
        <v>286</v>
      </c>
    </row>
    <row r="20" ht="22.5" customHeight="1">
      <c r="A20" s="77">
        <v>19.0</v>
      </c>
      <c r="B20" s="52"/>
      <c r="C20" s="77">
        <v>6.479</v>
      </c>
      <c r="D20" s="52"/>
      <c r="E20" s="52"/>
      <c r="F20" s="52"/>
      <c r="G20" s="52"/>
      <c r="H20" s="77">
        <v>2023.0</v>
      </c>
      <c r="I20" s="77">
        <v>6.479</v>
      </c>
      <c r="J20" s="77">
        <v>0.0</v>
      </c>
      <c r="K20" s="77">
        <v>0.0</v>
      </c>
      <c r="L20" s="53" t="s">
        <v>261</v>
      </c>
      <c r="M20" s="52" t="s">
        <v>274</v>
      </c>
      <c r="N20" s="52"/>
      <c r="O20" s="52"/>
      <c r="P20" s="52" t="s">
        <v>275</v>
      </c>
    </row>
    <row r="21" ht="22.5" customHeight="1">
      <c r="A21" s="77">
        <v>20.0</v>
      </c>
      <c r="B21" s="77">
        <v>0.083</v>
      </c>
      <c r="C21" s="77">
        <v>2.01066958864</v>
      </c>
      <c r="D21" s="77">
        <v>20106.6958864</v>
      </c>
      <c r="E21" s="77">
        <v>743.919221036</v>
      </c>
      <c r="F21" s="77">
        <v>5.51830739803</v>
      </c>
      <c r="G21" s="77">
        <v>52.988983692144</v>
      </c>
      <c r="H21" s="77">
        <v>2023.0</v>
      </c>
      <c r="I21" s="77">
        <v>2.010669589</v>
      </c>
      <c r="J21" s="77">
        <v>0.0</v>
      </c>
      <c r="K21" s="77">
        <v>0.0</v>
      </c>
      <c r="L21" s="53" t="s">
        <v>263</v>
      </c>
      <c r="M21" s="52" t="s">
        <v>266</v>
      </c>
      <c r="N21" s="52"/>
      <c r="O21" s="52"/>
      <c r="P21" s="52" t="s">
        <v>268</v>
      </c>
    </row>
    <row r="22" ht="22.5" customHeight="1">
      <c r="A22" s="77">
        <v>21.0</v>
      </c>
      <c r="B22" s="77">
        <v>1.547</v>
      </c>
      <c r="C22" s="77">
        <v>1.29311808984</v>
      </c>
      <c r="D22" s="77">
        <v>12931.1808984</v>
      </c>
      <c r="E22" s="77">
        <v>718.230786131</v>
      </c>
      <c r="F22" s="77">
        <v>5.51399040921</v>
      </c>
      <c r="G22" s="77">
        <v>52.985656</v>
      </c>
      <c r="H22" s="77">
        <v>2023.0</v>
      </c>
      <c r="I22" s="77">
        <v>1.29311809</v>
      </c>
      <c r="J22" s="77">
        <v>3.0</v>
      </c>
      <c r="K22" s="77">
        <v>2.31997373109211</v>
      </c>
      <c r="L22" s="52"/>
      <c r="M22" s="52" t="s">
        <v>259</v>
      </c>
      <c r="N22" s="77">
        <v>1274.21202487282</v>
      </c>
      <c r="O22" s="77">
        <v>5.0</v>
      </c>
      <c r="P22" s="52" t="s">
        <v>258</v>
      </c>
    </row>
    <row r="23" ht="22.5" customHeight="1">
      <c r="A23" s="77">
        <v>22.0</v>
      </c>
      <c r="B23" s="77">
        <v>1.525</v>
      </c>
      <c r="C23" s="77">
        <v>3.93571425329</v>
      </c>
      <c r="D23" s="77">
        <v>39357.1425329</v>
      </c>
      <c r="E23" s="77">
        <v>1049.22865422</v>
      </c>
      <c r="F23" s="77">
        <v>5.51230479038</v>
      </c>
      <c r="G23" s="77">
        <v>52.983446566048</v>
      </c>
      <c r="H23" s="77">
        <v>2023.0</v>
      </c>
      <c r="I23" s="77">
        <v>3.935714253</v>
      </c>
      <c r="J23" s="77">
        <v>5.0</v>
      </c>
      <c r="K23" s="77">
        <v>1.27041743342743</v>
      </c>
      <c r="L23" s="52"/>
      <c r="M23" s="52" t="s">
        <v>259</v>
      </c>
      <c r="N23" s="77">
        <v>1045.36304291101</v>
      </c>
      <c r="O23" s="77">
        <v>3.0</v>
      </c>
      <c r="P23" s="52" t="s">
        <v>258</v>
      </c>
    </row>
    <row r="24" ht="22.5" customHeight="1">
      <c r="A24" s="77">
        <v>23.0</v>
      </c>
      <c r="B24" s="77">
        <v>0.19</v>
      </c>
      <c r="C24" s="77">
        <v>3.50308032059</v>
      </c>
      <c r="D24" s="77">
        <v>35030.8032059</v>
      </c>
      <c r="E24" s="77">
        <v>768.299315839</v>
      </c>
      <c r="F24" s="77">
        <v>5.50030877755</v>
      </c>
      <c r="G24" s="77">
        <v>52.99794360113</v>
      </c>
      <c r="H24" s="77">
        <v>2023.0</v>
      </c>
      <c r="I24" s="77">
        <v>3.503080321</v>
      </c>
      <c r="J24" s="77">
        <v>2.0</v>
      </c>
      <c r="K24" s="77">
        <v>0.570926104094888</v>
      </c>
      <c r="L24" s="52"/>
      <c r="M24" s="52" t="s">
        <v>274</v>
      </c>
      <c r="N24" s="52"/>
      <c r="O24" s="52"/>
      <c r="P24" s="52" t="s">
        <v>275</v>
      </c>
    </row>
    <row r="25" ht="22.5" customHeight="1">
      <c r="A25" s="77">
        <v>24.0</v>
      </c>
      <c r="B25" s="77">
        <v>1.442</v>
      </c>
      <c r="C25" s="77">
        <v>3.236882094</v>
      </c>
      <c r="D25" s="77">
        <v>32368.82094</v>
      </c>
      <c r="E25" s="77">
        <v>938.754123442</v>
      </c>
      <c r="F25" s="77">
        <v>5.49640549652</v>
      </c>
      <c r="G25" s="77">
        <v>52.996047228464</v>
      </c>
      <c r="H25" s="77">
        <v>2023.0</v>
      </c>
      <c r="I25" s="77">
        <v>3.236882094</v>
      </c>
      <c r="J25" s="77">
        <v>5.5</v>
      </c>
      <c r="K25" s="77">
        <v>1.69916599995872</v>
      </c>
      <c r="L25" s="52"/>
      <c r="M25" s="52" t="s">
        <v>274</v>
      </c>
      <c r="N25" s="52"/>
      <c r="O25" s="52"/>
      <c r="P25" s="52" t="s">
        <v>275</v>
      </c>
    </row>
    <row r="26" ht="22.5" customHeight="1">
      <c r="A26" s="77">
        <v>25.0</v>
      </c>
      <c r="B26" s="77">
        <v>0.0</v>
      </c>
      <c r="C26" s="77">
        <v>2.0617642322</v>
      </c>
      <c r="D26" s="77">
        <v>20617.642322</v>
      </c>
      <c r="E26" s="77">
        <v>655.917199653</v>
      </c>
      <c r="F26" s="77">
        <v>5.45792600322</v>
      </c>
      <c r="G26" s="77">
        <v>53.001225046869</v>
      </c>
      <c r="H26" s="77">
        <v>2023.0</v>
      </c>
      <c r="I26" s="77">
        <v>2.061764232</v>
      </c>
      <c r="J26" s="77">
        <v>0.0</v>
      </c>
      <c r="K26" s="77">
        <v>0.0</v>
      </c>
      <c r="L26" s="53" t="s">
        <v>261</v>
      </c>
      <c r="M26" s="52" t="s">
        <v>274</v>
      </c>
      <c r="N26" s="52"/>
      <c r="O26" s="52"/>
      <c r="P26" s="52" t="s">
        <v>275</v>
      </c>
    </row>
    <row r="27" ht="22.5" customHeight="1">
      <c r="A27" s="77">
        <v>26.0</v>
      </c>
      <c r="B27" s="77">
        <v>0.0</v>
      </c>
      <c r="C27" s="77">
        <v>2.64454133985</v>
      </c>
      <c r="D27" s="77">
        <v>26445.4133985</v>
      </c>
      <c r="E27" s="77">
        <v>782.893952055</v>
      </c>
      <c r="F27" s="77">
        <v>5.41107004398</v>
      </c>
      <c r="G27" s="77">
        <v>52.911288740329</v>
      </c>
      <c r="H27" s="77">
        <v>2023.0</v>
      </c>
      <c r="I27" s="77">
        <v>2.64454134</v>
      </c>
      <c r="J27" s="77">
        <v>0.0</v>
      </c>
      <c r="K27" s="77">
        <v>0.0</v>
      </c>
      <c r="L27" s="53" t="s">
        <v>261</v>
      </c>
      <c r="M27" s="52" t="s">
        <v>274</v>
      </c>
      <c r="N27" s="52"/>
      <c r="O27" s="52"/>
      <c r="P27" s="52" t="s">
        <v>275</v>
      </c>
    </row>
    <row r="28" ht="22.5" customHeight="1">
      <c r="A28" s="77">
        <v>27.0</v>
      </c>
      <c r="B28" s="77">
        <v>0.348</v>
      </c>
      <c r="C28" s="77">
        <v>5.97857915958</v>
      </c>
      <c r="D28" s="77">
        <v>59785.7915958</v>
      </c>
      <c r="E28" s="77">
        <v>1212.90859345</v>
      </c>
      <c r="F28" s="77">
        <v>5.4441521679</v>
      </c>
      <c r="G28" s="77">
        <v>52.899213497146</v>
      </c>
      <c r="H28" s="77">
        <v>2023.0</v>
      </c>
      <c r="I28" s="77">
        <v>5.97857916</v>
      </c>
      <c r="J28" s="77">
        <v>2.0</v>
      </c>
      <c r="K28" s="77">
        <v>0.334527643855769</v>
      </c>
      <c r="L28" s="52"/>
      <c r="M28" s="52" t="s">
        <v>259</v>
      </c>
      <c r="N28" s="77">
        <v>786.122437420247</v>
      </c>
      <c r="O28" s="77">
        <v>4.0</v>
      </c>
      <c r="P28" s="52" t="s">
        <v>316</v>
      </c>
    </row>
    <row r="29" ht="22.5" customHeight="1">
      <c r="A29" s="77">
        <v>28.0</v>
      </c>
      <c r="B29" s="77">
        <v>0.23</v>
      </c>
      <c r="C29" s="77">
        <v>3.25561553725</v>
      </c>
      <c r="D29" s="77">
        <v>32556.1553725</v>
      </c>
      <c r="E29" s="77">
        <v>879.965777147</v>
      </c>
      <c r="F29" s="77">
        <v>5.44210148459</v>
      </c>
      <c r="G29" s="77">
        <v>52.899126577524</v>
      </c>
      <c r="H29" s="77">
        <v>2023.0</v>
      </c>
      <c r="I29" s="77">
        <v>3.255615537</v>
      </c>
      <c r="J29" s="77">
        <v>0.0</v>
      </c>
      <c r="K29" s="77">
        <v>0.0</v>
      </c>
      <c r="L29" s="53" t="s">
        <v>263</v>
      </c>
      <c r="M29" s="52" t="s">
        <v>266</v>
      </c>
      <c r="N29" s="52"/>
      <c r="O29" s="52"/>
      <c r="P29" s="52" t="s">
        <v>268</v>
      </c>
    </row>
    <row r="30" ht="22.5" customHeight="1">
      <c r="A30" s="77">
        <v>29.0</v>
      </c>
      <c r="B30" s="77">
        <v>0.779</v>
      </c>
      <c r="C30" s="77">
        <v>2.46064732217</v>
      </c>
      <c r="D30" s="77">
        <v>24606.4732217</v>
      </c>
      <c r="E30" s="77">
        <v>744.32599152</v>
      </c>
      <c r="F30" s="77">
        <v>5.46732171252</v>
      </c>
      <c r="G30" s="77">
        <v>52.912197822501</v>
      </c>
      <c r="H30" s="77">
        <v>2023.0</v>
      </c>
      <c r="I30" s="77">
        <v>2.460647322</v>
      </c>
      <c r="J30" s="77">
        <v>2.5</v>
      </c>
      <c r="K30" s="77">
        <v>1.01599281524344</v>
      </c>
      <c r="L30" s="52"/>
      <c r="M30" s="52" t="s">
        <v>274</v>
      </c>
      <c r="N30" s="52"/>
      <c r="O30" s="52"/>
      <c r="P30" s="52" t="s">
        <v>275</v>
      </c>
    </row>
    <row r="31" ht="22.5" customHeight="1">
      <c r="A31" s="77">
        <v>30.0</v>
      </c>
      <c r="B31" s="77">
        <v>0.0</v>
      </c>
      <c r="C31" s="77">
        <v>6.18445359718</v>
      </c>
      <c r="D31" s="77">
        <v>61844.5359718</v>
      </c>
      <c r="E31" s="77">
        <v>1047.6781662</v>
      </c>
      <c r="F31" s="77">
        <v>5.46232478966</v>
      </c>
      <c r="G31" s="77">
        <v>52.91355383263</v>
      </c>
      <c r="H31" s="77">
        <v>2023.0</v>
      </c>
      <c r="I31" s="77">
        <v>6.184453597</v>
      </c>
      <c r="J31" s="77">
        <v>0.5</v>
      </c>
      <c r="K31" s="77">
        <v>0.0808478860998397</v>
      </c>
      <c r="L31" s="52"/>
      <c r="M31" s="52" t="s">
        <v>259</v>
      </c>
      <c r="N31" s="77">
        <v>37.4618329341796</v>
      </c>
      <c r="O31" s="77">
        <v>2.0</v>
      </c>
      <c r="P31" s="52" t="s">
        <v>316</v>
      </c>
    </row>
    <row r="32" ht="22.5" customHeight="1">
      <c r="A32" s="77">
        <v>31.0</v>
      </c>
      <c r="B32" s="77">
        <v>0.357</v>
      </c>
      <c r="C32" s="77">
        <v>3.73626223199</v>
      </c>
      <c r="D32" s="77">
        <v>37362.6223199</v>
      </c>
      <c r="E32" s="77">
        <v>822.626809958</v>
      </c>
      <c r="F32" s="77">
        <v>5.4738702434</v>
      </c>
      <c r="G32" s="77">
        <v>52.933484743416</v>
      </c>
      <c r="H32" s="77">
        <v>2023.0</v>
      </c>
      <c r="I32" s="77">
        <v>3.736262232</v>
      </c>
      <c r="J32" s="77">
        <v>0.0</v>
      </c>
      <c r="K32" s="77">
        <v>0.0</v>
      </c>
      <c r="L32" s="53" t="s">
        <v>261</v>
      </c>
      <c r="M32" s="52" t="s">
        <v>274</v>
      </c>
      <c r="N32" s="52"/>
      <c r="O32" s="52"/>
      <c r="P32" s="52" t="s">
        <v>275</v>
      </c>
    </row>
    <row r="33" ht="22.5" customHeight="1">
      <c r="A33" s="77">
        <v>32.0</v>
      </c>
      <c r="B33" s="77">
        <v>0.0</v>
      </c>
      <c r="C33" s="77">
        <v>4.48611079491</v>
      </c>
      <c r="D33" s="77">
        <v>44861.1079491</v>
      </c>
      <c r="E33" s="77">
        <v>879.044189809</v>
      </c>
      <c r="F33" s="77">
        <v>5.47160384677</v>
      </c>
      <c r="G33" s="77">
        <v>52.940462722114</v>
      </c>
      <c r="H33" s="77">
        <v>2023.0</v>
      </c>
      <c r="I33" s="77">
        <v>4.486110795</v>
      </c>
      <c r="J33" s="77">
        <v>0.0</v>
      </c>
      <c r="K33" s="77">
        <v>0.0</v>
      </c>
      <c r="L33" s="53" t="s">
        <v>263</v>
      </c>
      <c r="M33" s="52" t="s">
        <v>259</v>
      </c>
      <c r="N33" s="77">
        <v>146.950453349739</v>
      </c>
      <c r="O33" s="77">
        <v>2.0</v>
      </c>
      <c r="P33" s="52" t="s">
        <v>286</v>
      </c>
    </row>
    <row r="34" ht="22.5" customHeight="1">
      <c r="A34" s="77">
        <v>33.0</v>
      </c>
      <c r="B34" s="77">
        <v>0.62</v>
      </c>
      <c r="C34" s="77">
        <v>3.76079982366</v>
      </c>
      <c r="D34" s="77">
        <v>37607.9982366</v>
      </c>
      <c r="E34" s="77">
        <v>782.624884995</v>
      </c>
      <c r="F34" s="77">
        <v>5.4720748224</v>
      </c>
      <c r="G34" s="77">
        <v>52.935475708154</v>
      </c>
      <c r="H34" s="77">
        <v>2023.0</v>
      </c>
      <c r="I34" s="77">
        <v>3.760799824</v>
      </c>
      <c r="J34" s="77">
        <v>7.0</v>
      </c>
      <c r="K34" s="77">
        <v>1.86130619219046</v>
      </c>
      <c r="L34" s="52"/>
      <c r="M34" s="52" t="s">
        <v>259</v>
      </c>
      <c r="N34" s="77">
        <v>1305.1527943537</v>
      </c>
      <c r="O34" s="77">
        <v>3.0</v>
      </c>
      <c r="P34" s="52" t="s">
        <v>258</v>
      </c>
    </row>
    <row r="35" ht="22.5" customHeight="1">
      <c r="A35" s="77">
        <v>34.0</v>
      </c>
      <c r="B35" s="77">
        <v>0.505</v>
      </c>
      <c r="C35" s="77">
        <v>3.46380297945</v>
      </c>
      <c r="D35" s="77">
        <v>34638.0297945</v>
      </c>
      <c r="E35" s="77">
        <v>817.495639198</v>
      </c>
      <c r="F35" s="77">
        <v>5.44207595011</v>
      </c>
      <c r="G35" s="77">
        <v>52.925645409583</v>
      </c>
      <c r="H35" s="77">
        <v>2023.0</v>
      </c>
      <c r="I35" s="77">
        <v>3.463802979</v>
      </c>
      <c r="J35" s="77">
        <v>0.5</v>
      </c>
      <c r="K35" s="77">
        <v>0.144350011542617</v>
      </c>
      <c r="L35" s="52"/>
      <c r="M35" s="52" t="s">
        <v>274</v>
      </c>
      <c r="N35" s="52"/>
      <c r="O35" s="52"/>
      <c r="P35" s="52" t="s">
        <v>275</v>
      </c>
    </row>
    <row r="36" ht="22.5" hidden="1" customHeight="1">
      <c r="A36" s="100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53" t="s">
        <v>267</v>
      </c>
      <c r="M36" s="101"/>
      <c r="N36" s="101"/>
      <c r="O36" s="101"/>
      <c r="P36" s="101"/>
    </row>
    <row r="37" ht="22.5" hidden="1" customHeight="1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53" t="s">
        <v>263</v>
      </c>
      <c r="M37" s="101"/>
      <c r="N37" s="101"/>
      <c r="O37" s="101"/>
      <c r="P37" s="101"/>
    </row>
    <row r="38" ht="22.5" hidden="1" customHeight="1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53" t="s">
        <v>263</v>
      </c>
      <c r="M38" s="101"/>
      <c r="N38" s="101"/>
      <c r="O38" s="101"/>
      <c r="P38" s="101"/>
    </row>
    <row r="39" ht="22.5" hidden="1" customHeight="1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53" t="s">
        <v>263</v>
      </c>
      <c r="M39" s="101"/>
      <c r="N39" s="101"/>
      <c r="O39" s="101"/>
      <c r="P39" s="101"/>
    </row>
    <row r="40" ht="22.5" hidden="1" customHeight="1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53" t="s">
        <v>263</v>
      </c>
      <c r="M40" s="101"/>
      <c r="N40" s="101"/>
      <c r="O40" s="101"/>
      <c r="P40" s="101"/>
    </row>
    <row r="41" ht="22.5" hidden="1" customHeight="1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53" t="s">
        <v>263</v>
      </c>
      <c r="M41" s="101"/>
      <c r="N41" s="101"/>
      <c r="O41" s="101"/>
      <c r="P41" s="101"/>
    </row>
    <row r="42" ht="22.5" hidden="1" customHeight="1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53" t="s">
        <v>263</v>
      </c>
      <c r="M42" s="101"/>
      <c r="N42" s="101"/>
      <c r="O42" s="101"/>
      <c r="P42" s="101"/>
    </row>
    <row r="43" ht="22.5" hidden="1" customHeight="1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53" t="s">
        <v>261</v>
      </c>
      <c r="M43" s="101"/>
      <c r="N43" s="101"/>
      <c r="O43" s="101"/>
      <c r="P43" s="101"/>
    </row>
    <row r="44" ht="22.5" hidden="1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53" t="s">
        <v>267</v>
      </c>
      <c r="M44" s="101"/>
      <c r="N44" s="101"/>
      <c r="O44" s="101"/>
      <c r="P44" s="101"/>
    </row>
    <row r="45" ht="22.5" hidden="1" customHeight="1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53" t="s">
        <v>263</v>
      </c>
      <c r="M45" s="101"/>
      <c r="N45" s="101"/>
      <c r="O45" s="101"/>
      <c r="P45" s="101"/>
    </row>
    <row r="46" ht="22.5" hidden="1" customHeight="1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53" t="s">
        <v>261</v>
      </c>
      <c r="M46" s="101"/>
      <c r="N46" s="101"/>
      <c r="O46" s="101"/>
      <c r="P46" s="101"/>
    </row>
    <row r="47" ht="22.5" hidden="1" customHeight="1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53" t="s">
        <v>263</v>
      </c>
      <c r="M47" s="101"/>
      <c r="N47" s="101"/>
      <c r="O47" s="101"/>
      <c r="P47" s="101"/>
    </row>
    <row r="48" ht="22.5" hidden="1" customHeight="1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53" t="s">
        <v>261</v>
      </c>
      <c r="M48" s="101"/>
      <c r="N48" s="101"/>
      <c r="O48" s="101"/>
      <c r="P48" s="101"/>
    </row>
    <row r="49" ht="22.5" hidden="1" customHeight="1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53" t="s">
        <v>263</v>
      </c>
      <c r="M49" s="101"/>
      <c r="N49" s="101"/>
      <c r="O49" s="101"/>
      <c r="P49" s="101"/>
    </row>
    <row r="50" ht="22.5" hidden="1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53" t="s">
        <v>263</v>
      </c>
      <c r="M50" s="101"/>
      <c r="N50" s="101"/>
      <c r="O50" s="101"/>
      <c r="P50" s="101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6.0"/>
    <col customWidth="1" min="8" max="9" width="15.75"/>
    <col customWidth="1" min="10" max="10" width="13.88"/>
  </cols>
  <sheetData>
    <row r="1" ht="22.5" customHeight="1">
      <c r="A1" s="98" t="s">
        <v>19</v>
      </c>
      <c r="B1" s="98" t="s">
        <v>346</v>
      </c>
      <c r="C1" s="98" t="s">
        <v>347</v>
      </c>
      <c r="D1" s="98" t="s">
        <v>348</v>
      </c>
      <c r="E1" s="98" t="s">
        <v>349</v>
      </c>
      <c r="F1" s="98" t="s">
        <v>350</v>
      </c>
      <c r="G1" s="98" t="s">
        <v>351</v>
      </c>
      <c r="H1" s="98" t="s">
        <v>352</v>
      </c>
      <c r="I1" s="98" t="s">
        <v>353</v>
      </c>
      <c r="J1" s="98" t="s">
        <v>354</v>
      </c>
    </row>
    <row r="2" ht="22.5" customHeight="1">
      <c r="A2" s="36">
        <v>1.1</v>
      </c>
      <c r="B2" s="36" t="s">
        <v>355</v>
      </c>
      <c r="C2" s="36">
        <v>2663.0</v>
      </c>
      <c r="D2" s="36">
        <v>4.52</v>
      </c>
      <c r="E2" s="36">
        <v>0.939</v>
      </c>
      <c r="F2" s="36">
        <v>0.573</v>
      </c>
      <c r="G2" s="36">
        <v>29.0</v>
      </c>
      <c r="H2" s="36">
        <v>2.57</v>
      </c>
      <c r="I2" s="36">
        <v>0.884</v>
      </c>
      <c r="J2" s="36">
        <v>0.764</v>
      </c>
    </row>
    <row r="3" ht="22.5" customHeight="1">
      <c r="A3" s="36">
        <v>1.2</v>
      </c>
      <c r="B3" s="36" t="s">
        <v>356</v>
      </c>
      <c r="C3" s="36">
        <v>2589.0</v>
      </c>
      <c r="D3" s="36">
        <v>4.49</v>
      </c>
      <c r="E3" s="36">
        <v>0.956</v>
      </c>
      <c r="F3" s="36">
        <v>0.572</v>
      </c>
      <c r="G3" s="36">
        <v>27.0</v>
      </c>
      <c r="H3" s="36">
        <v>2.28</v>
      </c>
      <c r="I3" s="36">
        <v>0.822</v>
      </c>
      <c r="J3" s="36">
        <v>0.691</v>
      </c>
    </row>
    <row r="4" ht="22.5" customHeight="1">
      <c r="A4" s="36">
        <v>1.3</v>
      </c>
      <c r="B4" s="36" t="s">
        <v>357</v>
      </c>
      <c r="C4" s="36">
        <v>2664.0</v>
      </c>
      <c r="D4" s="36">
        <v>4.48</v>
      </c>
      <c r="E4" s="36">
        <v>0.943</v>
      </c>
      <c r="F4" s="36">
        <v>0.568</v>
      </c>
      <c r="G4" s="36">
        <v>28.0</v>
      </c>
      <c r="H4" s="36">
        <v>1.97</v>
      </c>
      <c r="I4" s="36">
        <v>0.679</v>
      </c>
      <c r="J4" s="36">
        <v>0.592</v>
      </c>
    </row>
    <row r="5" ht="22.5" customHeight="1">
      <c r="A5" s="36">
        <v>2.1</v>
      </c>
      <c r="B5" s="36" t="s">
        <v>358</v>
      </c>
      <c r="C5" s="36">
        <v>1782.0</v>
      </c>
      <c r="D5" s="36">
        <v>4.56</v>
      </c>
      <c r="E5" s="36">
        <v>0.969</v>
      </c>
      <c r="F5" s="36">
        <v>0.609</v>
      </c>
      <c r="G5" s="36">
        <v>29.0</v>
      </c>
      <c r="H5" s="36">
        <v>2.83</v>
      </c>
      <c r="I5" s="36">
        <v>0.929</v>
      </c>
      <c r="J5" s="36">
        <v>0.84</v>
      </c>
    </row>
    <row r="6" ht="22.5" customHeight="1">
      <c r="A6" s="36">
        <v>2.2</v>
      </c>
      <c r="B6" s="36" t="s">
        <v>359</v>
      </c>
      <c r="C6" s="36">
        <v>1843.0</v>
      </c>
      <c r="D6" s="36">
        <v>4.42</v>
      </c>
      <c r="E6" s="36">
        <v>0.958</v>
      </c>
      <c r="F6" s="36">
        <v>0.587</v>
      </c>
      <c r="G6" s="36">
        <v>29.0</v>
      </c>
      <c r="H6" s="36">
        <v>2.7</v>
      </c>
      <c r="I6" s="36">
        <v>0.911</v>
      </c>
      <c r="J6" s="36">
        <v>0.801</v>
      </c>
    </row>
    <row r="7" ht="22.5" customHeight="1">
      <c r="A7" s="36">
        <v>2.3</v>
      </c>
      <c r="B7" s="36" t="s">
        <v>360</v>
      </c>
      <c r="C7" s="36">
        <v>1867.0</v>
      </c>
      <c r="D7" s="36">
        <v>4.6</v>
      </c>
      <c r="E7" s="36">
        <v>0.968</v>
      </c>
      <c r="F7" s="36">
        <v>0.61</v>
      </c>
      <c r="G7" s="36">
        <v>29.0</v>
      </c>
      <c r="H7" s="36">
        <v>2.62</v>
      </c>
      <c r="I7" s="36">
        <v>0.901</v>
      </c>
      <c r="J7" s="36">
        <v>0.777</v>
      </c>
    </row>
    <row r="8" ht="22.5" customHeight="1">
      <c r="A8" s="36">
        <v>3.1</v>
      </c>
      <c r="B8" s="36" t="s">
        <v>361</v>
      </c>
      <c r="C8" s="36">
        <v>2164.0</v>
      </c>
      <c r="D8" s="36">
        <v>4.45</v>
      </c>
      <c r="E8" s="36">
        <v>0.945</v>
      </c>
      <c r="F8" s="36">
        <v>0.579</v>
      </c>
      <c r="G8" s="36">
        <v>29.0</v>
      </c>
      <c r="H8" s="36">
        <v>2.58</v>
      </c>
      <c r="I8" s="36">
        <v>0.893</v>
      </c>
      <c r="J8" s="36">
        <v>0.767</v>
      </c>
    </row>
    <row r="9" ht="22.5" customHeight="1">
      <c r="A9" s="36">
        <v>3.2</v>
      </c>
      <c r="B9" s="36" t="s">
        <v>362</v>
      </c>
      <c r="C9" s="36">
        <v>2530.0</v>
      </c>
      <c r="D9" s="36">
        <v>4.37</v>
      </c>
      <c r="E9" s="36">
        <v>0.93</v>
      </c>
      <c r="F9" s="36">
        <v>0.557</v>
      </c>
      <c r="G9" s="36">
        <v>29.0</v>
      </c>
      <c r="H9" s="36">
        <v>2.81</v>
      </c>
      <c r="I9" s="36">
        <v>0.924</v>
      </c>
      <c r="J9" s="36">
        <v>0.836</v>
      </c>
    </row>
    <row r="10" ht="22.5" customHeight="1">
      <c r="A10" s="36">
        <v>3.3</v>
      </c>
      <c r="B10" s="36" t="s">
        <v>363</v>
      </c>
      <c r="C10" s="36">
        <v>2487.0</v>
      </c>
      <c r="D10" s="36">
        <v>4.5</v>
      </c>
      <c r="E10" s="36">
        <v>0.955</v>
      </c>
      <c r="F10" s="36">
        <v>0.575</v>
      </c>
      <c r="G10" s="36">
        <v>29.0</v>
      </c>
      <c r="H10" s="36">
        <v>2.03</v>
      </c>
      <c r="I10" s="36">
        <v>0.73</v>
      </c>
      <c r="J10" s="36">
        <v>0.603</v>
      </c>
    </row>
    <row r="11" ht="22.5" customHeight="1">
      <c r="A11" s="36">
        <v>4.1</v>
      </c>
      <c r="B11" s="36" t="s">
        <v>364</v>
      </c>
      <c r="C11" s="36">
        <v>2020.0</v>
      </c>
      <c r="D11" s="36">
        <v>4.01</v>
      </c>
      <c r="E11" s="36">
        <v>0.923</v>
      </c>
      <c r="F11" s="36">
        <v>0.527</v>
      </c>
      <c r="G11" s="36">
        <v>28.0</v>
      </c>
      <c r="H11" s="36">
        <v>2.9</v>
      </c>
      <c r="I11" s="36">
        <v>0.935</v>
      </c>
      <c r="J11" s="36">
        <v>0.871</v>
      </c>
    </row>
    <row r="12" ht="22.5" customHeight="1">
      <c r="A12" s="36">
        <v>4.2</v>
      </c>
      <c r="B12" s="36" t="s">
        <v>365</v>
      </c>
      <c r="C12" s="36">
        <v>2052.0</v>
      </c>
      <c r="D12" s="36">
        <v>3.64</v>
      </c>
      <c r="E12" s="36">
        <v>0.903</v>
      </c>
      <c r="F12" s="36">
        <v>0.478</v>
      </c>
      <c r="G12" s="36">
        <v>29.0</v>
      </c>
      <c r="H12" s="36">
        <v>2.67</v>
      </c>
      <c r="I12" s="36">
        <v>0.918</v>
      </c>
      <c r="J12" s="36">
        <v>0.794</v>
      </c>
    </row>
    <row r="13" ht="22.5" customHeight="1">
      <c r="A13" s="36">
        <v>4.3</v>
      </c>
      <c r="B13" s="36" t="s">
        <v>366</v>
      </c>
      <c r="C13" s="36" t="s">
        <v>366</v>
      </c>
      <c r="D13" s="36" t="s">
        <v>366</v>
      </c>
      <c r="E13" s="36" t="s">
        <v>366</v>
      </c>
      <c r="F13" s="36" t="s">
        <v>366</v>
      </c>
      <c r="G13" s="36" t="s">
        <v>366</v>
      </c>
      <c r="H13" s="36" t="s">
        <v>366</v>
      </c>
      <c r="I13" s="36" t="s">
        <v>366</v>
      </c>
      <c r="J13" s="36" t="s">
        <v>366</v>
      </c>
    </row>
    <row r="14" ht="22.5" customHeight="1">
      <c r="A14" s="36">
        <v>5.1</v>
      </c>
      <c r="B14" s="36" t="s">
        <v>367</v>
      </c>
      <c r="C14" s="36">
        <v>2318.0</v>
      </c>
      <c r="D14" s="36">
        <v>3.88</v>
      </c>
      <c r="E14" s="36">
        <v>0.906</v>
      </c>
      <c r="F14" s="36">
        <v>0.501</v>
      </c>
      <c r="G14" s="36">
        <v>28.0</v>
      </c>
      <c r="H14" s="36">
        <v>2.64</v>
      </c>
      <c r="I14" s="36">
        <v>0.901</v>
      </c>
      <c r="J14" s="36">
        <v>0.793</v>
      </c>
    </row>
    <row r="15" ht="22.5" customHeight="1">
      <c r="A15" s="36">
        <v>5.2</v>
      </c>
      <c r="B15" s="36" t="s">
        <v>368</v>
      </c>
      <c r="C15" s="36">
        <v>2305.0</v>
      </c>
      <c r="D15" s="36">
        <v>4.12</v>
      </c>
      <c r="E15" s="36">
        <v>0.943</v>
      </c>
      <c r="F15" s="36">
        <v>0.532</v>
      </c>
      <c r="G15" s="36">
        <v>28.0</v>
      </c>
      <c r="H15" s="36">
        <v>2.33</v>
      </c>
      <c r="I15" s="36">
        <v>0.824</v>
      </c>
      <c r="J15" s="36">
        <v>0.698</v>
      </c>
    </row>
    <row r="16" ht="22.5" customHeight="1">
      <c r="A16" s="36">
        <v>5.3</v>
      </c>
      <c r="B16" s="36" t="s">
        <v>369</v>
      </c>
      <c r="C16" s="36">
        <v>2224.0</v>
      </c>
      <c r="D16" s="36">
        <v>3.83</v>
      </c>
      <c r="E16" s="36">
        <v>0.931</v>
      </c>
      <c r="F16" s="36">
        <v>0.497</v>
      </c>
      <c r="G16" s="36">
        <v>28.0</v>
      </c>
      <c r="H16" s="36">
        <v>2.42</v>
      </c>
      <c r="I16" s="36">
        <v>0.865</v>
      </c>
      <c r="J16" s="36">
        <v>0.726</v>
      </c>
    </row>
    <row r="17" ht="22.5" customHeight="1">
      <c r="A17" s="36">
        <v>6.1</v>
      </c>
      <c r="B17" s="36" t="s">
        <v>370</v>
      </c>
      <c r="C17" s="36">
        <v>1976.0</v>
      </c>
      <c r="D17" s="36">
        <v>2.94</v>
      </c>
      <c r="E17" s="36">
        <v>0.775</v>
      </c>
      <c r="F17" s="36">
        <v>0.388</v>
      </c>
      <c r="G17" s="36">
        <v>27.0</v>
      </c>
      <c r="H17" s="36">
        <v>2.53</v>
      </c>
      <c r="I17" s="36">
        <v>0.906</v>
      </c>
      <c r="J17" s="36">
        <v>0.767</v>
      </c>
    </row>
    <row r="18" ht="22.5" customHeight="1">
      <c r="A18" s="36">
        <v>6.2</v>
      </c>
      <c r="B18" s="36" t="s">
        <v>371</v>
      </c>
      <c r="C18" s="36">
        <v>1652.0</v>
      </c>
      <c r="D18" s="36">
        <v>2.19</v>
      </c>
      <c r="E18" s="36">
        <v>0.589</v>
      </c>
      <c r="F18" s="36">
        <v>0.295</v>
      </c>
      <c r="G18" s="36">
        <v>27.0</v>
      </c>
      <c r="H18" s="36">
        <v>2.42</v>
      </c>
      <c r="I18" s="36">
        <v>0.88</v>
      </c>
      <c r="J18" s="36">
        <v>0.735</v>
      </c>
    </row>
    <row r="19" ht="22.5" customHeight="1">
      <c r="A19" s="36">
        <v>6.3</v>
      </c>
      <c r="B19" s="36" t="s">
        <v>372</v>
      </c>
      <c r="C19" s="36">
        <v>1684.0</v>
      </c>
      <c r="D19" s="36">
        <v>2.51</v>
      </c>
      <c r="E19" s="36">
        <v>0.662</v>
      </c>
      <c r="F19" s="36">
        <v>0.338</v>
      </c>
      <c r="G19" s="36">
        <v>28.0</v>
      </c>
      <c r="H19" s="36">
        <v>2.42</v>
      </c>
      <c r="I19" s="36">
        <v>0.887</v>
      </c>
      <c r="J19" s="36">
        <v>0.728</v>
      </c>
    </row>
    <row r="20" ht="22.5" customHeight="1">
      <c r="A20" s="36">
        <v>7.1</v>
      </c>
      <c r="B20" s="36" t="s">
        <v>373</v>
      </c>
      <c r="C20" s="36">
        <v>2162.0</v>
      </c>
      <c r="D20" s="36">
        <v>4.83</v>
      </c>
      <c r="E20" s="36">
        <v>0.978</v>
      </c>
      <c r="F20" s="36">
        <v>0.629</v>
      </c>
      <c r="G20" s="36">
        <v>30.0</v>
      </c>
      <c r="H20" s="36">
        <v>2.47</v>
      </c>
      <c r="I20" s="36">
        <v>0.88</v>
      </c>
      <c r="J20" s="36">
        <v>0.726</v>
      </c>
    </row>
    <row r="21" ht="22.5" customHeight="1">
      <c r="A21" s="36">
        <v>7.2</v>
      </c>
      <c r="B21" s="36" t="s">
        <v>374</v>
      </c>
      <c r="C21" s="36">
        <v>2058.0</v>
      </c>
      <c r="D21" s="36">
        <v>4.78</v>
      </c>
      <c r="E21" s="36">
        <v>0.971</v>
      </c>
      <c r="F21" s="36">
        <v>0.627</v>
      </c>
      <c r="G21" s="36">
        <v>29.0</v>
      </c>
      <c r="H21" s="36">
        <v>2.3</v>
      </c>
      <c r="I21" s="36">
        <v>0.859</v>
      </c>
      <c r="J21" s="36">
        <v>0.684</v>
      </c>
    </row>
    <row r="22" ht="22.5" customHeight="1">
      <c r="A22" s="36">
        <v>7.3</v>
      </c>
      <c r="B22" s="36" t="s">
        <v>375</v>
      </c>
      <c r="C22" s="36">
        <v>2190.0</v>
      </c>
      <c r="D22" s="36">
        <v>4.9</v>
      </c>
      <c r="E22" s="36">
        <v>0.978</v>
      </c>
      <c r="F22" s="36">
        <v>0.637</v>
      </c>
      <c r="G22" s="36">
        <v>30.0</v>
      </c>
      <c r="H22" s="36">
        <v>2.24</v>
      </c>
      <c r="I22" s="36">
        <v>0.81</v>
      </c>
      <c r="J22" s="36">
        <v>0.658</v>
      </c>
    </row>
    <row r="23" ht="22.5" customHeight="1">
      <c r="A23" s="36">
        <v>8.1</v>
      </c>
      <c r="B23" s="36" t="s">
        <v>376</v>
      </c>
      <c r="C23" s="36">
        <v>2433.0</v>
      </c>
      <c r="D23" s="36">
        <v>4.85</v>
      </c>
      <c r="E23" s="36">
        <v>0.977</v>
      </c>
      <c r="F23" s="36">
        <v>0.622</v>
      </c>
      <c r="G23" s="36">
        <v>28.0</v>
      </c>
      <c r="H23" s="36">
        <v>2.36</v>
      </c>
      <c r="I23" s="36">
        <v>0.852</v>
      </c>
      <c r="J23" s="36">
        <v>0.709</v>
      </c>
    </row>
    <row r="24" ht="22.5" customHeight="1">
      <c r="A24" s="36">
        <v>8.2</v>
      </c>
      <c r="B24" s="36" t="s">
        <v>377</v>
      </c>
      <c r="C24" s="36">
        <v>2408.0</v>
      </c>
      <c r="D24" s="36">
        <v>4.75</v>
      </c>
      <c r="E24" s="36">
        <v>0.962</v>
      </c>
      <c r="F24" s="36">
        <v>0.61</v>
      </c>
      <c r="G24" s="36">
        <v>28.0</v>
      </c>
      <c r="H24" s="36">
        <v>2.04</v>
      </c>
      <c r="I24" s="36">
        <v>0.768</v>
      </c>
      <c r="J24" s="36">
        <v>0.612</v>
      </c>
    </row>
    <row r="25" ht="22.5" customHeight="1">
      <c r="A25" s="36">
        <v>8.3</v>
      </c>
      <c r="B25" s="36" t="s">
        <v>378</v>
      </c>
      <c r="C25" s="36">
        <v>2542.0</v>
      </c>
      <c r="D25" s="36">
        <v>4.67</v>
      </c>
      <c r="E25" s="36">
        <v>0.966</v>
      </c>
      <c r="F25" s="36">
        <v>0.596</v>
      </c>
      <c r="G25" s="36">
        <v>27.0</v>
      </c>
      <c r="H25" s="36">
        <v>2.1</v>
      </c>
      <c r="I25" s="36">
        <v>0.815</v>
      </c>
      <c r="J25" s="36">
        <v>0.636</v>
      </c>
    </row>
    <row r="26" ht="22.5" customHeight="1">
      <c r="A26" s="36">
        <v>9.1</v>
      </c>
      <c r="B26" s="36" t="s">
        <v>379</v>
      </c>
      <c r="C26" s="36">
        <v>2557.0</v>
      </c>
      <c r="D26" s="36">
        <v>4.61</v>
      </c>
      <c r="E26" s="36">
        <v>0.964</v>
      </c>
      <c r="F26" s="36">
        <v>0.588</v>
      </c>
      <c r="G26" s="36">
        <v>28.0</v>
      </c>
      <c r="H26" s="36">
        <v>2.28</v>
      </c>
      <c r="I26" s="36">
        <v>0.857</v>
      </c>
      <c r="J26" s="36">
        <v>0.685</v>
      </c>
    </row>
    <row r="27" ht="22.5" customHeight="1">
      <c r="A27" s="36">
        <v>9.2</v>
      </c>
      <c r="B27" s="36" t="s">
        <v>380</v>
      </c>
      <c r="C27" s="36">
        <v>2315.0</v>
      </c>
      <c r="D27" s="36">
        <v>4.59</v>
      </c>
      <c r="E27" s="36">
        <v>0.962</v>
      </c>
      <c r="F27" s="36">
        <v>0.593</v>
      </c>
      <c r="G27" s="36">
        <v>28.0</v>
      </c>
      <c r="H27" s="36">
        <v>1.88</v>
      </c>
      <c r="I27" s="36">
        <v>0.752</v>
      </c>
      <c r="J27" s="36">
        <v>0.565</v>
      </c>
    </row>
    <row r="28" ht="22.5" customHeight="1">
      <c r="A28" s="36">
        <v>9.3</v>
      </c>
      <c r="B28" s="36" t="s">
        <v>381</v>
      </c>
      <c r="C28" s="36">
        <v>2152.0</v>
      </c>
      <c r="D28" s="36">
        <v>4.54</v>
      </c>
      <c r="E28" s="36">
        <v>0.968</v>
      </c>
      <c r="F28" s="36">
        <v>0.592</v>
      </c>
      <c r="G28" s="36">
        <v>30.0</v>
      </c>
      <c r="H28" s="36">
        <v>2.11</v>
      </c>
      <c r="I28" s="36">
        <v>0.818</v>
      </c>
      <c r="J28" s="36">
        <v>0.621</v>
      </c>
    </row>
    <row r="29" ht="22.5" customHeight="1">
      <c r="A29" s="36">
        <v>10.1</v>
      </c>
      <c r="B29" s="36" t="s">
        <v>382</v>
      </c>
      <c r="C29" s="36">
        <v>2990.0</v>
      </c>
      <c r="D29" s="36">
        <v>4.65</v>
      </c>
      <c r="E29" s="36">
        <v>0.935</v>
      </c>
      <c r="F29" s="36">
        <v>0.581</v>
      </c>
      <c r="G29" s="36">
        <v>29.0</v>
      </c>
      <c r="H29" s="36">
        <v>2.85</v>
      </c>
      <c r="I29" s="36">
        <v>0.924</v>
      </c>
      <c r="J29" s="36">
        <v>0.847</v>
      </c>
    </row>
    <row r="30" ht="22.5" customHeight="1">
      <c r="A30" s="36">
        <v>10.2</v>
      </c>
      <c r="B30" s="36" t="s">
        <v>383</v>
      </c>
      <c r="C30" s="36">
        <v>2874.0</v>
      </c>
      <c r="D30" s="36">
        <v>5.0</v>
      </c>
      <c r="E30" s="36">
        <v>0.977</v>
      </c>
      <c r="F30" s="36">
        <v>0.628</v>
      </c>
      <c r="G30" s="36">
        <v>30.0</v>
      </c>
      <c r="H30" s="36">
        <v>2.84</v>
      </c>
      <c r="I30" s="36">
        <v>0.923</v>
      </c>
      <c r="J30" s="36">
        <v>0.835</v>
      </c>
    </row>
    <row r="31" ht="22.5" customHeight="1">
      <c r="A31" s="36">
        <v>10.3</v>
      </c>
      <c r="B31" s="36" t="s">
        <v>384</v>
      </c>
      <c r="C31" s="36">
        <v>2780.0</v>
      </c>
      <c r="D31" s="36">
        <v>4.51</v>
      </c>
      <c r="E31" s="36">
        <v>0.931</v>
      </c>
      <c r="F31" s="36">
        <v>0.569</v>
      </c>
      <c r="G31" s="36">
        <v>28.0</v>
      </c>
      <c r="H31" s="36">
        <v>2.8</v>
      </c>
      <c r="I31" s="36">
        <v>0.914</v>
      </c>
      <c r="J31" s="36">
        <v>0.84</v>
      </c>
    </row>
    <row r="32" ht="22.5" customHeight="1">
      <c r="A32" s="36">
        <v>11.1</v>
      </c>
      <c r="B32" s="36" t="s">
        <v>385</v>
      </c>
      <c r="C32" s="36">
        <v>2499.0</v>
      </c>
      <c r="D32" s="36">
        <v>4.59</v>
      </c>
      <c r="E32" s="36">
        <v>0.948</v>
      </c>
      <c r="F32" s="36">
        <v>0.586</v>
      </c>
      <c r="G32" s="36">
        <v>28.0</v>
      </c>
      <c r="H32" s="36">
        <v>2.74</v>
      </c>
      <c r="I32" s="36">
        <v>0.909</v>
      </c>
      <c r="J32" s="36">
        <v>0.823</v>
      </c>
    </row>
    <row r="33" ht="22.5" customHeight="1">
      <c r="A33" s="36">
        <v>11.2</v>
      </c>
      <c r="B33" s="36" t="s">
        <v>386</v>
      </c>
      <c r="C33" s="36">
        <v>2271.0</v>
      </c>
      <c r="D33" s="36">
        <v>4.14</v>
      </c>
      <c r="E33" s="36">
        <v>0.925</v>
      </c>
      <c r="F33" s="36">
        <v>0.535</v>
      </c>
      <c r="G33" s="36">
        <v>28.0</v>
      </c>
      <c r="H33" s="36">
        <v>2.39</v>
      </c>
      <c r="I33" s="36">
        <v>0.827</v>
      </c>
      <c r="J33" s="36">
        <v>0.716</v>
      </c>
    </row>
    <row r="34" ht="22.5" customHeight="1">
      <c r="A34" s="36">
        <v>11.3</v>
      </c>
      <c r="B34" s="36" t="s">
        <v>387</v>
      </c>
      <c r="C34" s="36">
        <v>2198.0</v>
      </c>
      <c r="D34" s="36">
        <v>4.23</v>
      </c>
      <c r="E34" s="36">
        <v>0.929</v>
      </c>
      <c r="F34" s="36">
        <v>0.549</v>
      </c>
      <c r="G34" s="36">
        <v>27.0</v>
      </c>
      <c r="H34" s="36">
        <v>2.74</v>
      </c>
      <c r="I34" s="36">
        <v>0.915</v>
      </c>
      <c r="J34" s="36">
        <v>0.832</v>
      </c>
    </row>
    <row r="35" ht="22.5" customHeight="1">
      <c r="A35" s="36">
        <v>12.1</v>
      </c>
      <c r="B35" s="36" t="s">
        <v>388</v>
      </c>
      <c r="C35" s="36">
        <v>1843.0</v>
      </c>
      <c r="D35" s="36">
        <v>3.75</v>
      </c>
      <c r="E35" s="36">
        <v>0.916</v>
      </c>
      <c r="F35" s="36">
        <v>0.499</v>
      </c>
      <c r="G35" s="36">
        <v>27.0</v>
      </c>
      <c r="H35" s="36">
        <v>2.81</v>
      </c>
      <c r="I35" s="36">
        <v>0.923</v>
      </c>
      <c r="J35" s="36">
        <v>0.853</v>
      </c>
    </row>
    <row r="36" ht="22.5" customHeight="1">
      <c r="A36" s="36">
        <v>12.2</v>
      </c>
      <c r="B36" s="36" t="s">
        <v>389</v>
      </c>
      <c r="C36" s="36">
        <v>2003.0</v>
      </c>
      <c r="D36" s="36">
        <v>3.95</v>
      </c>
      <c r="E36" s="36">
        <v>0.927</v>
      </c>
      <c r="F36" s="36">
        <v>0.519</v>
      </c>
      <c r="G36" s="36">
        <v>30.0</v>
      </c>
      <c r="H36" s="36">
        <v>2.72</v>
      </c>
      <c r="I36" s="36">
        <v>0.913</v>
      </c>
      <c r="J36" s="36">
        <v>0.801</v>
      </c>
    </row>
    <row r="37" ht="22.5" customHeight="1">
      <c r="A37" s="36">
        <v>12.3</v>
      </c>
      <c r="B37" s="36" t="s">
        <v>390</v>
      </c>
      <c r="C37" s="36">
        <v>1966.0</v>
      </c>
      <c r="D37" s="36">
        <v>4.02</v>
      </c>
      <c r="E37" s="36">
        <v>0.942</v>
      </c>
      <c r="F37" s="36">
        <v>0.53</v>
      </c>
      <c r="G37" s="36">
        <v>28.0</v>
      </c>
      <c r="H37" s="36">
        <v>2.62</v>
      </c>
      <c r="I37" s="36">
        <v>0.903</v>
      </c>
      <c r="J37" s="36">
        <v>0.785</v>
      </c>
    </row>
    <row r="38" ht="22.5" customHeight="1">
      <c r="A38" s="36">
        <v>13.1</v>
      </c>
      <c r="B38" s="36" t="s">
        <v>391</v>
      </c>
      <c r="C38" s="36">
        <v>1718.0</v>
      </c>
      <c r="D38" s="36">
        <v>3.62</v>
      </c>
      <c r="E38" s="36">
        <v>0.897</v>
      </c>
      <c r="F38" s="36">
        <v>0.486</v>
      </c>
      <c r="G38" s="36">
        <v>30.0</v>
      </c>
      <c r="H38" s="36">
        <v>2.51</v>
      </c>
      <c r="I38" s="36">
        <v>0.897</v>
      </c>
      <c r="J38" s="36">
        <v>0.737</v>
      </c>
    </row>
    <row r="39" ht="22.5" customHeight="1">
      <c r="A39" s="36">
        <v>13.2</v>
      </c>
      <c r="B39" s="36" t="s">
        <v>392</v>
      </c>
      <c r="C39" s="36">
        <v>2018.0</v>
      </c>
      <c r="D39" s="36">
        <v>4.06</v>
      </c>
      <c r="E39" s="36">
        <v>0.942</v>
      </c>
      <c r="F39" s="36">
        <v>0.534</v>
      </c>
      <c r="G39" s="36">
        <v>28.0</v>
      </c>
      <c r="H39" s="36">
        <v>2.62</v>
      </c>
      <c r="I39" s="36">
        <v>0.9</v>
      </c>
      <c r="J39" s="36">
        <v>0.788</v>
      </c>
    </row>
    <row r="40" ht="22.5" customHeight="1">
      <c r="A40" s="36">
        <v>13.3</v>
      </c>
      <c r="B40" s="36" t="s">
        <v>393</v>
      </c>
      <c r="C40" s="36">
        <v>1884.0</v>
      </c>
      <c r="D40" s="36">
        <v>3.78</v>
      </c>
      <c r="E40" s="36">
        <v>0.923</v>
      </c>
      <c r="F40" s="36">
        <v>0.501</v>
      </c>
      <c r="G40" s="36">
        <v>28.0</v>
      </c>
      <c r="H40" s="36">
        <v>2.61</v>
      </c>
      <c r="I40" s="36">
        <v>0.9</v>
      </c>
      <c r="J40" s="36">
        <v>0.783</v>
      </c>
    </row>
    <row r="41" ht="22.5" customHeight="1">
      <c r="A41" s="36">
        <v>14.1</v>
      </c>
      <c r="B41" s="36" t="s">
        <v>394</v>
      </c>
      <c r="C41" s="36">
        <v>2858.0</v>
      </c>
      <c r="D41" s="36">
        <v>4.46</v>
      </c>
      <c r="E41" s="36">
        <v>0.907</v>
      </c>
      <c r="F41" s="36">
        <v>0.56</v>
      </c>
      <c r="G41" s="36">
        <v>28.0</v>
      </c>
      <c r="H41" s="36">
        <v>2.87</v>
      </c>
      <c r="I41" s="36">
        <v>0.928</v>
      </c>
      <c r="J41" s="36">
        <v>0.863</v>
      </c>
    </row>
    <row r="42" ht="22.5" customHeight="1">
      <c r="A42" s="36">
        <v>14.2</v>
      </c>
      <c r="B42" s="36" t="s">
        <v>395</v>
      </c>
      <c r="C42" s="36">
        <v>2715.0</v>
      </c>
      <c r="D42" s="36">
        <v>3.94</v>
      </c>
      <c r="E42" s="36">
        <v>0.838</v>
      </c>
      <c r="F42" s="36">
        <v>0.498</v>
      </c>
      <c r="G42" s="36">
        <v>28.0</v>
      </c>
      <c r="H42" s="36">
        <v>2.93</v>
      </c>
      <c r="I42" s="36">
        <v>0.934</v>
      </c>
      <c r="J42" s="36">
        <v>0.879</v>
      </c>
    </row>
    <row r="43" ht="22.5" customHeight="1">
      <c r="A43" s="36">
        <v>14.3</v>
      </c>
      <c r="B43" s="36" t="s">
        <v>396</v>
      </c>
      <c r="C43" s="36">
        <v>2614.0</v>
      </c>
      <c r="D43" s="36">
        <v>4.31</v>
      </c>
      <c r="E43" s="36">
        <v>0.904</v>
      </c>
      <c r="F43" s="36">
        <v>0.547</v>
      </c>
      <c r="G43" s="36">
        <v>28.0</v>
      </c>
      <c r="H43" s="36">
        <v>3.03</v>
      </c>
      <c r="I43" s="36">
        <v>0.942</v>
      </c>
      <c r="J43" s="36">
        <v>0.908</v>
      </c>
    </row>
    <row r="44" ht="22.5" customHeight="1">
      <c r="A44" s="36">
        <v>15.1</v>
      </c>
      <c r="B44" s="36" t="s">
        <v>397</v>
      </c>
      <c r="C44" s="36">
        <v>2472.0</v>
      </c>
      <c r="D44" s="36">
        <v>3.4</v>
      </c>
      <c r="E44" s="36">
        <v>0.84</v>
      </c>
      <c r="F44" s="36">
        <v>0.435</v>
      </c>
      <c r="G44" s="36">
        <v>30.0</v>
      </c>
      <c r="H44" s="36">
        <v>2.7</v>
      </c>
      <c r="I44" s="36">
        <v>0.91</v>
      </c>
      <c r="J44" s="36">
        <v>0.795</v>
      </c>
    </row>
    <row r="45" ht="22.5" customHeight="1">
      <c r="A45" s="36">
        <v>15.2</v>
      </c>
      <c r="B45" s="36" t="s">
        <v>398</v>
      </c>
      <c r="C45" s="36">
        <v>2449.0</v>
      </c>
      <c r="D45" s="36">
        <v>3.59</v>
      </c>
      <c r="E45" s="36">
        <v>0.856</v>
      </c>
      <c r="F45" s="36">
        <v>0.46</v>
      </c>
      <c r="G45" s="36">
        <v>29.0</v>
      </c>
      <c r="H45" s="36">
        <v>2.77</v>
      </c>
      <c r="I45" s="36">
        <v>0.92</v>
      </c>
      <c r="J45" s="36">
        <v>0.821</v>
      </c>
    </row>
    <row r="46" ht="22.5" customHeight="1">
      <c r="A46" s="36">
        <v>15.3</v>
      </c>
      <c r="B46" s="36" t="s">
        <v>399</v>
      </c>
      <c r="C46" s="36">
        <v>2173.0</v>
      </c>
      <c r="D46" s="36">
        <v>3.5</v>
      </c>
      <c r="E46" s="36">
        <v>0.862</v>
      </c>
      <c r="F46" s="36">
        <v>0.456</v>
      </c>
      <c r="G46" s="36">
        <v>30.0</v>
      </c>
      <c r="H46" s="36">
        <v>2.7</v>
      </c>
      <c r="I46" s="36">
        <v>0.9</v>
      </c>
      <c r="J46" s="36">
        <v>0.793</v>
      </c>
    </row>
    <row r="47" ht="22.5" customHeight="1">
      <c r="A47" s="36">
        <v>16.1</v>
      </c>
      <c r="B47" s="36" t="s">
        <v>400</v>
      </c>
      <c r="C47" s="36">
        <v>2217.0</v>
      </c>
      <c r="D47" s="36">
        <v>4.21</v>
      </c>
      <c r="E47" s="36">
        <v>0.957</v>
      </c>
      <c r="F47" s="36">
        <v>0.546</v>
      </c>
      <c r="G47" s="36">
        <v>28.0</v>
      </c>
      <c r="H47" s="36">
        <v>2.68</v>
      </c>
      <c r="I47" s="36">
        <v>0.913</v>
      </c>
      <c r="J47" s="36">
        <v>0.805</v>
      </c>
    </row>
    <row r="48" ht="22.5" customHeight="1">
      <c r="A48" s="36">
        <v>16.2</v>
      </c>
      <c r="B48" s="36" t="s">
        <v>401</v>
      </c>
      <c r="C48" s="36">
        <v>2552.0</v>
      </c>
      <c r="D48" s="36">
        <v>4.17</v>
      </c>
      <c r="E48" s="36">
        <v>0.948</v>
      </c>
      <c r="F48" s="36">
        <v>0.531</v>
      </c>
      <c r="G48" s="36">
        <v>28.0</v>
      </c>
      <c r="H48" s="36">
        <v>2.69</v>
      </c>
      <c r="I48" s="36">
        <v>0.905</v>
      </c>
      <c r="J48" s="36">
        <v>0.807</v>
      </c>
    </row>
    <row r="49" ht="22.5" customHeight="1">
      <c r="A49" s="36">
        <v>16.3</v>
      </c>
      <c r="B49" s="36" t="s">
        <v>402</v>
      </c>
      <c r="C49" s="36">
        <v>2413.0</v>
      </c>
      <c r="D49" s="36">
        <v>4.19</v>
      </c>
      <c r="E49" s="36">
        <v>0.948</v>
      </c>
      <c r="F49" s="36">
        <v>0.538</v>
      </c>
      <c r="G49" s="36">
        <v>28.0</v>
      </c>
      <c r="H49" s="36">
        <v>2.58</v>
      </c>
      <c r="I49" s="36">
        <v>0.888</v>
      </c>
      <c r="J49" s="36">
        <v>0.773</v>
      </c>
    </row>
    <row r="50" ht="22.5" customHeight="1">
      <c r="A50" s="36">
        <v>17.1</v>
      </c>
      <c r="B50" s="36" t="s">
        <v>404</v>
      </c>
      <c r="C50" s="36">
        <v>2752.0</v>
      </c>
      <c r="D50" s="36">
        <v>4.7</v>
      </c>
      <c r="E50" s="36">
        <v>0.967</v>
      </c>
      <c r="F50" s="36">
        <v>0.594</v>
      </c>
      <c r="G50" s="36">
        <v>28.0</v>
      </c>
      <c r="H50" s="36">
        <v>2.72</v>
      </c>
      <c r="I50" s="36">
        <v>0.903</v>
      </c>
      <c r="J50" s="36">
        <v>0.816</v>
      </c>
    </row>
    <row r="51" ht="22.5" customHeight="1">
      <c r="A51" s="36">
        <v>17.2</v>
      </c>
      <c r="B51" s="36" t="s">
        <v>405</v>
      </c>
      <c r="C51" s="36">
        <v>2491.0</v>
      </c>
      <c r="D51" s="36">
        <v>3.93</v>
      </c>
      <c r="E51" s="36">
        <v>0.901</v>
      </c>
      <c r="F51" s="36">
        <v>0.503</v>
      </c>
      <c r="G51" s="36">
        <v>28.0</v>
      </c>
      <c r="H51" s="36">
        <v>2.07</v>
      </c>
      <c r="I51" s="36">
        <v>0.763</v>
      </c>
      <c r="J51" s="36">
        <v>0.62</v>
      </c>
    </row>
    <row r="52" ht="22.5" customHeight="1">
      <c r="A52" s="36">
        <v>17.3</v>
      </c>
      <c r="B52" s="36" t="s">
        <v>406</v>
      </c>
      <c r="C52" s="36">
        <v>2860.0</v>
      </c>
      <c r="D52" s="36">
        <v>4.9</v>
      </c>
      <c r="E52" s="36">
        <v>0.98</v>
      </c>
      <c r="F52" s="36">
        <v>0.616</v>
      </c>
      <c r="G52" s="36">
        <v>30.0</v>
      </c>
      <c r="H52" s="36">
        <v>2.83</v>
      </c>
      <c r="I52" s="36">
        <v>0.92</v>
      </c>
      <c r="J52" s="36">
        <v>0.832</v>
      </c>
    </row>
    <row r="53" ht="22.5" customHeight="1">
      <c r="A53" s="36">
        <v>18.1</v>
      </c>
      <c r="B53" s="36" t="s">
        <v>407</v>
      </c>
      <c r="C53" s="36">
        <v>2512.0</v>
      </c>
      <c r="D53" s="36">
        <v>4.59</v>
      </c>
      <c r="E53" s="36">
        <v>0.972</v>
      </c>
      <c r="F53" s="36">
        <v>0.586</v>
      </c>
      <c r="G53" s="36">
        <v>28.0</v>
      </c>
      <c r="H53" s="36">
        <v>2.72</v>
      </c>
      <c r="I53" s="36">
        <v>0.906</v>
      </c>
      <c r="J53" s="36">
        <v>0.816</v>
      </c>
    </row>
    <row r="54" ht="22.5" customHeight="1">
      <c r="A54" s="36">
        <v>18.2</v>
      </c>
      <c r="B54" s="36" t="s">
        <v>408</v>
      </c>
      <c r="C54" s="36">
        <v>2481.0</v>
      </c>
      <c r="D54" s="36">
        <v>4.77</v>
      </c>
      <c r="E54" s="36">
        <v>0.979</v>
      </c>
      <c r="F54" s="36">
        <v>0.61</v>
      </c>
      <c r="G54" s="36">
        <v>30.0</v>
      </c>
      <c r="H54" s="36">
        <v>2.88</v>
      </c>
      <c r="I54" s="36">
        <v>0.926</v>
      </c>
      <c r="J54" s="36">
        <v>0.846</v>
      </c>
    </row>
    <row r="55" ht="22.5" customHeight="1">
      <c r="A55" s="36">
        <v>18.3</v>
      </c>
      <c r="B55" s="36" t="s">
        <v>409</v>
      </c>
      <c r="C55" s="36">
        <v>2398.0</v>
      </c>
      <c r="D55" s="36">
        <v>4.29</v>
      </c>
      <c r="E55" s="36">
        <v>0.959</v>
      </c>
      <c r="F55" s="36">
        <v>0.551</v>
      </c>
      <c r="G55" s="36">
        <v>28.0</v>
      </c>
      <c r="H55" s="36">
        <v>2.65</v>
      </c>
      <c r="I55" s="36">
        <v>0.908</v>
      </c>
      <c r="J55" s="36">
        <v>0.795</v>
      </c>
    </row>
    <row r="56" ht="22.5" customHeight="1">
      <c r="A56" s="36">
        <v>19.1</v>
      </c>
      <c r="B56" s="36" t="s">
        <v>410</v>
      </c>
      <c r="C56" s="36">
        <v>2845.0</v>
      </c>
      <c r="D56" s="36">
        <v>5.33</v>
      </c>
      <c r="E56" s="36">
        <v>0.987</v>
      </c>
      <c r="F56" s="36">
        <v>0.67</v>
      </c>
      <c r="G56" s="36">
        <v>28.0</v>
      </c>
      <c r="H56" s="36">
        <v>2.6</v>
      </c>
      <c r="I56" s="36">
        <v>0.887</v>
      </c>
      <c r="J56" s="36">
        <v>0.779</v>
      </c>
    </row>
    <row r="57" ht="22.5" customHeight="1">
      <c r="A57" s="36">
        <v>19.2</v>
      </c>
      <c r="B57" s="36" t="s">
        <v>411</v>
      </c>
      <c r="C57" s="36">
        <v>2436.0</v>
      </c>
      <c r="D57" s="36">
        <v>4.94</v>
      </c>
      <c r="E57" s="36">
        <v>0.973</v>
      </c>
      <c r="F57" s="36">
        <v>0.633</v>
      </c>
      <c r="G57" s="36">
        <v>28.0</v>
      </c>
      <c r="H57" s="36">
        <v>2.7</v>
      </c>
      <c r="I57" s="36">
        <v>0.91</v>
      </c>
      <c r="J57" s="36">
        <v>0.809</v>
      </c>
    </row>
    <row r="58" ht="22.5" customHeight="1">
      <c r="A58" s="36">
        <v>19.3</v>
      </c>
      <c r="B58" s="36" t="s">
        <v>412</v>
      </c>
      <c r="C58" s="36">
        <v>2688.0</v>
      </c>
      <c r="D58" s="36">
        <v>5.04</v>
      </c>
      <c r="E58" s="36">
        <v>0.983</v>
      </c>
      <c r="F58" s="36">
        <v>0.638</v>
      </c>
      <c r="G58" s="36">
        <v>28.0</v>
      </c>
      <c r="H58" s="36">
        <v>2.77</v>
      </c>
      <c r="I58" s="36">
        <v>0.926</v>
      </c>
      <c r="J58" s="36">
        <v>0.832</v>
      </c>
    </row>
    <row r="59" ht="22.5" customHeight="1">
      <c r="A59" s="36">
        <v>20.1</v>
      </c>
      <c r="B59" s="36" t="s">
        <v>413</v>
      </c>
      <c r="C59" s="36">
        <v>2329.0</v>
      </c>
      <c r="D59" s="36">
        <v>4.22</v>
      </c>
      <c r="E59" s="36">
        <v>0.959</v>
      </c>
      <c r="F59" s="36">
        <v>0.545</v>
      </c>
      <c r="G59" s="36">
        <v>28.0</v>
      </c>
      <c r="H59" s="36">
        <v>2.72</v>
      </c>
      <c r="I59" s="36">
        <v>0.913</v>
      </c>
      <c r="J59" s="36">
        <v>0.817</v>
      </c>
    </row>
    <row r="60" ht="22.5" customHeight="1">
      <c r="A60" s="36">
        <v>20.2</v>
      </c>
      <c r="B60" s="36" t="s">
        <v>414</v>
      </c>
      <c r="C60" s="36">
        <v>2232.0</v>
      </c>
      <c r="D60" s="36">
        <v>4.16</v>
      </c>
      <c r="E60" s="36">
        <v>0.95</v>
      </c>
      <c r="F60" s="36">
        <v>0.54</v>
      </c>
      <c r="G60" s="36">
        <v>30.0</v>
      </c>
      <c r="H60" s="36">
        <v>2.73</v>
      </c>
      <c r="I60" s="36">
        <v>0.918</v>
      </c>
      <c r="J60" s="36">
        <v>0.804</v>
      </c>
    </row>
    <row r="61" ht="22.5" customHeight="1">
      <c r="A61" s="36">
        <v>20.3</v>
      </c>
      <c r="B61" s="36" t="s">
        <v>415</v>
      </c>
      <c r="C61" s="36">
        <v>2325.0</v>
      </c>
      <c r="D61" s="36">
        <v>3.99</v>
      </c>
      <c r="E61" s="36">
        <v>0.945</v>
      </c>
      <c r="F61" s="36">
        <v>0.515</v>
      </c>
      <c r="G61" s="36">
        <v>29.0</v>
      </c>
      <c r="H61" s="36">
        <v>2.77</v>
      </c>
      <c r="I61" s="36">
        <v>0.917</v>
      </c>
      <c r="J61" s="36">
        <v>0.822</v>
      </c>
    </row>
    <row r="62" ht="22.5" customHeight="1">
      <c r="A62" s="36">
        <v>21.1</v>
      </c>
      <c r="B62" s="36" t="s">
        <v>416</v>
      </c>
      <c r="C62" s="36">
        <v>2069.0</v>
      </c>
      <c r="D62" s="36">
        <v>3.81</v>
      </c>
      <c r="E62" s="36">
        <v>0.876</v>
      </c>
      <c r="F62" s="36">
        <v>0.5</v>
      </c>
      <c r="G62" s="36">
        <v>30.0</v>
      </c>
      <c r="H62" s="36">
        <v>2.83</v>
      </c>
      <c r="I62" s="36">
        <v>0.929</v>
      </c>
      <c r="J62" s="36">
        <v>0.833</v>
      </c>
    </row>
    <row r="63" ht="22.5" customHeight="1">
      <c r="A63" s="36">
        <v>21.2</v>
      </c>
      <c r="B63" s="36" t="s">
        <v>417</v>
      </c>
      <c r="C63" s="36">
        <v>2387.0</v>
      </c>
      <c r="D63" s="36">
        <v>3.28</v>
      </c>
      <c r="E63" s="36">
        <v>0.802</v>
      </c>
      <c r="F63" s="36">
        <v>0.422</v>
      </c>
      <c r="G63" s="36">
        <v>28.0</v>
      </c>
      <c r="H63" s="36">
        <v>2.68</v>
      </c>
      <c r="I63" s="36">
        <v>0.887</v>
      </c>
      <c r="J63" s="36">
        <v>0.805</v>
      </c>
    </row>
    <row r="64" ht="22.5" customHeight="1">
      <c r="A64" s="36">
        <v>21.3</v>
      </c>
      <c r="B64" s="36" t="s">
        <v>418</v>
      </c>
      <c r="C64" s="36">
        <v>2396.0</v>
      </c>
      <c r="D64" s="36">
        <v>3.87</v>
      </c>
      <c r="E64" s="36">
        <v>0.852</v>
      </c>
      <c r="F64" s="36">
        <v>0.497</v>
      </c>
      <c r="G64" s="36">
        <v>28.0</v>
      </c>
      <c r="H64" s="36">
        <v>3.08</v>
      </c>
      <c r="I64" s="36">
        <v>0.945</v>
      </c>
      <c r="J64" s="36">
        <v>0.924</v>
      </c>
    </row>
    <row r="65" ht="22.5" customHeight="1">
      <c r="A65" s="36">
        <v>22.1</v>
      </c>
      <c r="B65" s="36" t="s">
        <v>419</v>
      </c>
      <c r="C65" s="36">
        <v>2532.0</v>
      </c>
      <c r="D65" s="36">
        <v>3.88</v>
      </c>
      <c r="E65" s="36">
        <v>0.865</v>
      </c>
      <c r="F65" s="36">
        <v>0.496</v>
      </c>
      <c r="G65" s="36">
        <v>28.0</v>
      </c>
      <c r="H65" s="36">
        <v>2.81</v>
      </c>
      <c r="I65" s="36">
        <v>0.912</v>
      </c>
      <c r="J65" s="36">
        <v>0.843</v>
      </c>
    </row>
    <row r="66" ht="22.5" customHeight="1">
      <c r="A66" s="36">
        <v>22.2</v>
      </c>
      <c r="B66" s="36" t="s">
        <v>420</v>
      </c>
      <c r="C66" s="36">
        <v>2580.0</v>
      </c>
      <c r="D66" s="36">
        <v>4.46</v>
      </c>
      <c r="E66" s="36">
        <v>0.928</v>
      </c>
      <c r="F66" s="36">
        <v>0.568</v>
      </c>
      <c r="G66" s="36">
        <v>30.0</v>
      </c>
      <c r="H66" s="36">
        <v>2.97</v>
      </c>
      <c r="I66" s="36">
        <v>0.938</v>
      </c>
      <c r="J66" s="36">
        <v>0.874</v>
      </c>
    </row>
    <row r="67" ht="22.5" customHeight="1">
      <c r="A67" s="36">
        <v>22.3</v>
      </c>
      <c r="B67" s="36" t="s">
        <v>421</v>
      </c>
      <c r="C67" s="36">
        <v>2653.0</v>
      </c>
      <c r="D67" s="36">
        <v>4.11</v>
      </c>
      <c r="E67" s="36">
        <v>0.883</v>
      </c>
      <c r="F67" s="36">
        <v>0.522</v>
      </c>
      <c r="G67" s="36">
        <v>30.0</v>
      </c>
      <c r="H67" s="36">
        <v>2.67</v>
      </c>
      <c r="I67" s="36">
        <v>0.901</v>
      </c>
      <c r="J67" s="36">
        <v>0.785</v>
      </c>
    </row>
    <row r="68" ht="22.5" customHeight="1">
      <c r="A68" s="36">
        <v>23.1</v>
      </c>
      <c r="B68" s="36" t="s">
        <v>422</v>
      </c>
      <c r="C68" s="36">
        <v>2237.0</v>
      </c>
      <c r="D68" s="36">
        <v>3.51</v>
      </c>
      <c r="E68" s="36">
        <v>0.866</v>
      </c>
      <c r="F68" s="36">
        <v>0.455</v>
      </c>
      <c r="G68" s="36">
        <v>30.0</v>
      </c>
      <c r="H68" s="36">
        <v>1.12</v>
      </c>
      <c r="I68" s="36">
        <v>0.544</v>
      </c>
      <c r="J68" s="36">
        <v>0.33</v>
      </c>
    </row>
    <row r="69" ht="22.5" customHeight="1">
      <c r="A69" s="36">
        <v>23.2</v>
      </c>
      <c r="B69" s="36" t="s">
        <v>423</v>
      </c>
      <c r="C69" s="36">
        <v>2753.0</v>
      </c>
      <c r="D69" s="36">
        <v>4.78</v>
      </c>
      <c r="E69" s="36">
        <v>0.961</v>
      </c>
      <c r="F69" s="36">
        <v>0.603</v>
      </c>
      <c r="G69" s="36">
        <v>30.0</v>
      </c>
      <c r="H69" s="36">
        <v>1.53</v>
      </c>
      <c r="I69" s="36">
        <v>0.569</v>
      </c>
      <c r="J69" s="36">
        <v>0.451</v>
      </c>
    </row>
    <row r="70" ht="22.5" customHeight="1">
      <c r="A70" s="36">
        <v>23.3</v>
      </c>
      <c r="B70" s="36" t="s">
        <v>424</v>
      </c>
      <c r="C70" s="36">
        <v>2204.0</v>
      </c>
      <c r="D70" s="36">
        <v>3.82</v>
      </c>
      <c r="E70" s="36">
        <v>0.897</v>
      </c>
      <c r="F70" s="36">
        <v>0.497</v>
      </c>
      <c r="G70" s="36">
        <v>30.0</v>
      </c>
      <c r="H70" s="36">
        <v>1.35</v>
      </c>
      <c r="I70" s="36">
        <v>0.588</v>
      </c>
      <c r="J70" s="36">
        <v>0.397</v>
      </c>
    </row>
    <row r="71" ht="22.5" customHeight="1">
      <c r="A71" s="36">
        <v>24.1</v>
      </c>
      <c r="B71" s="36" t="s">
        <v>425</v>
      </c>
      <c r="C71" s="36">
        <v>2577.0</v>
      </c>
      <c r="D71" s="36">
        <v>4.85</v>
      </c>
      <c r="E71" s="36">
        <v>0.973</v>
      </c>
      <c r="F71" s="36">
        <v>0.617</v>
      </c>
      <c r="G71" s="36">
        <v>30.0</v>
      </c>
      <c r="H71" s="36">
        <v>2.61</v>
      </c>
      <c r="I71" s="36">
        <v>0.904</v>
      </c>
      <c r="J71" s="36">
        <v>0.767</v>
      </c>
    </row>
    <row r="72" ht="22.5" customHeight="1">
      <c r="A72" s="36">
        <v>24.2</v>
      </c>
      <c r="B72" s="36" t="s">
        <v>426</v>
      </c>
      <c r="C72" s="36">
        <v>2545.0</v>
      </c>
      <c r="D72" s="36">
        <v>4.86</v>
      </c>
      <c r="E72" s="36">
        <v>0.968</v>
      </c>
      <c r="F72" s="36">
        <v>0.619</v>
      </c>
      <c r="G72" s="36">
        <v>30.0</v>
      </c>
      <c r="H72" s="36">
        <v>2.65</v>
      </c>
      <c r="I72" s="36">
        <v>0.914</v>
      </c>
      <c r="J72" s="36">
        <v>0.78</v>
      </c>
    </row>
    <row r="73" ht="22.5" customHeight="1">
      <c r="A73" s="36">
        <v>24.3</v>
      </c>
      <c r="B73" s="36" t="s">
        <v>427</v>
      </c>
      <c r="C73" s="36">
        <v>2702.0</v>
      </c>
      <c r="D73" s="36">
        <v>5.23</v>
      </c>
      <c r="E73" s="36">
        <v>0.984</v>
      </c>
      <c r="F73" s="36">
        <v>0.662</v>
      </c>
      <c r="G73" s="36">
        <v>30.0</v>
      </c>
      <c r="H73" s="36">
        <v>2.63</v>
      </c>
      <c r="I73" s="36">
        <v>0.909</v>
      </c>
      <c r="J73" s="36">
        <v>0.773</v>
      </c>
    </row>
    <row r="74" ht="22.5" customHeight="1">
      <c r="A74" s="36">
        <v>25.1</v>
      </c>
      <c r="B74" s="36" t="s">
        <v>428</v>
      </c>
      <c r="C74" s="36">
        <v>2577.0</v>
      </c>
      <c r="D74" s="36">
        <v>4.9</v>
      </c>
      <c r="E74" s="36">
        <v>0.974</v>
      </c>
      <c r="F74" s="36">
        <v>0.624</v>
      </c>
      <c r="G74" s="36">
        <v>30.0</v>
      </c>
      <c r="H74" s="36">
        <v>2.63</v>
      </c>
      <c r="I74" s="36">
        <v>0.901</v>
      </c>
      <c r="J74" s="36">
        <v>0.772</v>
      </c>
    </row>
    <row r="75" ht="22.5" customHeight="1">
      <c r="A75" s="36">
        <v>25.2</v>
      </c>
      <c r="B75" s="36" t="s">
        <v>429</v>
      </c>
      <c r="C75" s="36">
        <v>2739.0</v>
      </c>
      <c r="D75" s="36">
        <v>4.8</v>
      </c>
      <c r="E75" s="36">
        <v>0.972</v>
      </c>
      <c r="F75" s="36">
        <v>0.606</v>
      </c>
      <c r="G75" s="36">
        <v>27.0</v>
      </c>
      <c r="H75" s="36">
        <v>2.53</v>
      </c>
      <c r="I75" s="36">
        <v>0.874</v>
      </c>
      <c r="J75" s="36">
        <v>0.767</v>
      </c>
    </row>
    <row r="76" ht="22.5" customHeight="1">
      <c r="A76" s="36">
        <v>25.3</v>
      </c>
      <c r="B76" s="36" t="s">
        <v>430</v>
      </c>
      <c r="C76" s="36">
        <v>3062.0</v>
      </c>
      <c r="D76" s="36">
        <v>5.06</v>
      </c>
      <c r="E76" s="36">
        <v>0.977</v>
      </c>
      <c r="F76" s="36">
        <v>0.63</v>
      </c>
      <c r="G76" s="36">
        <v>30.0</v>
      </c>
      <c r="H76" s="36">
        <v>2.83</v>
      </c>
      <c r="I76" s="36">
        <v>0.927</v>
      </c>
      <c r="J76" s="36">
        <v>0.831</v>
      </c>
    </row>
    <row r="77" ht="22.5" customHeight="1">
      <c r="A77" s="36">
        <v>26.1</v>
      </c>
      <c r="B77" s="36" t="s">
        <v>431</v>
      </c>
      <c r="C77" s="36">
        <v>2550.0</v>
      </c>
      <c r="D77" s="36">
        <v>4.91</v>
      </c>
      <c r="E77" s="36">
        <v>0.977</v>
      </c>
      <c r="F77" s="36">
        <v>0.626</v>
      </c>
      <c r="G77" s="36">
        <v>29.0</v>
      </c>
      <c r="H77" s="36">
        <v>2.06</v>
      </c>
      <c r="I77" s="36">
        <v>0.799</v>
      </c>
      <c r="J77" s="36">
        <v>0.611</v>
      </c>
    </row>
    <row r="78" ht="22.5" customHeight="1">
      <c r="A78" s="36">
        <v>26.2</v>
      </c>
      <c r="B78" s="36" t="s">
        <v>432</v>
      </c>
      <c r="C78" s="36">
        <v>2775.0</v>
      </c>
      <c r="D78" s="36">
        <v>4.97</v>
      </c>
      <c r="E78" s="36">
        <v>0.977</v>
      </c>
      <c r="F78" s="36">
        <v>0.626</v>
      </c>
      <c r="G78" s="36">
        <v>30.0</v>
      </c>
      <c r="H78" s="36">
        <v>1.9</v>
      </c>
      <c r="I78" s="36">
        <v>0.757</v>
      </c>
      <c r="J78" s="36">
        <v>0.56</v>
      </c>
    </row>
    <row r="79" ht="22.5" customHeight="1">
      <c r="A79" s="36">
        <v>26.3</v>
      </c>
      <c r="B79" s="36" t="s">
        <v>434</v>
      </c>
      <c r="C79" s="36">
        <v>2841.0</v>
      </c>
      <c r="D79" s="36">
        <v>4.87</v>
      </c>
      <c r="E79" s="36">
        <v>0.973</v>
      </c>
      <c r="F79" s="36">
        <v>0.612</v>
      </c>
      <c r="G79" s="36">
        <v>28.0</v>
      </c>
      <c r="H79" s="36">
        <v>2.28</v>
      </c>
      <c r="I79" s="36">
        <v>0.852</v>
      </c>
      <c r="J79" s="36">
        <v>0.683</v>
      </c>
    </row>
    <row r="80" ht="22.5" customHeight="1">
      <c r="A80" s="36">
        <v>27.1</v>
      </c>
      <c r="B80" s="36" t="s">
        <v>438</v>
      </c>
      <c r="C80" s="36">
        <v>2315.0</v>
      </c>
      <c r="D80" s="36">
        <v>4.53</v>
      </c>
      <c r="E80" s="36">
        <v>0.966</v>
      </c>
      <c r="F80" s="36">
        <v>0.585</v>
      </c>
      <c r="G80" s="36">
        <v>28.0</v>
      </c>
      <c r="H80" s="36">
        <v>2.6</v>
      </c>
      <c r="I80" s="36">
        <v>0.893</v>
      </c>
      <c r="J80" s="36">
        <v>0.779</v>
      </c>
    </row>
    <row r="81" ht="22.5" customHeight="1">
      <c r="A81" s="36">
        <v>27.2</v>
      </c>
      <c r="B81" s="36" t="s">
        <v>439</v>
      </c>
      <c r="C81" s="36">
        <v>1937.0</v>
      </c>
      <c r="D81" s="36">
        <v>2.49</v>
      </c>
      <c r="E81" s="36">
        <v>0.666</v>
      </c>
      <c r="F81" s="36">
        <v>0.329</v>
      </c>
      <c r="G81" s="36">
        <v>28.0</v>
      </c>
      <c r="H81" s="36">
        <v>0.88</v>
      </c>
      <c r="I81" s="36">
        <v>0.292</v>
      </c>
      <c r="J81" s="36">
        <v>0.263</v>
      </c>
    </row>
    <row r="82" ht="22.5" customHeight="1">
      <c r="A82" s="36">
        <v>27.3</v>
      </c>
      <c r="B82" s="36" t="s">
        <v>440</v>
      </c>
      <c r="C82" s="36">
        <v>2244.0</v>
      </c>
      <c r="D82" s="36">
        <v>4.38</v>
      </c>
      <c r="E82" s="36">
        <v>0.957</v>
      </c>
      <c r="F82" s="36">
        <v>0.567</v>
      </c>
      <c r="G82" s="36">
        <v>28.0</v>
      </c>
      <c r="H82" s="36">
        <v>2.7</v>
      </c>
      <c r="I82" s="36">
        <v>0.91</v>
      </c>
      <c r="J82" s="36">
        <v>0.81</v>
      </c>
    </row>
    <row r="83" ht="22.5" customHeight="1">
      <c r="A83" s="36">
        <v>28.1</v>
      </c>
      <c r="B83" s="36" t="s">
        <v>441</v>
      </c>
      <c r="C83" s="36">
        <v>1778.0</v>
      </c>
      <c r="D83" s="36">
        <v>4.09</v>
      </c>
      <c r="E83" s="36">
        <v>0.959</v>
      </c>
      <c r="F83" s="36">
        <v>0.547</v>
      </c>
      <c r="G83" s="36">
        <v>28.0</v>
      </c>
      <c r="H83" s="36">
        <v>2.3</v>
      </c>
      <c r="I83" s="36">
        <v>0.853</v>
      </c>
      <c r="J83" s="36">
        <v>0.689</v>
      </c>
    </row>
    <row r="84" ht="22.5" customHeight="1">
      <c r="A84" s="36">
        <v>28.2</v>
      </c>
      <c r="B84" s="36" t="s">
        <v>442</v>
      </c>
      <c r="C84" s="36">
        <v>1814.0</v>
      </c>
      <c r="D84" s="36">
        <v>4.17</v>
      </c>
      <c r="E84" s="36">
        <v>0.959</v>
      </c>
      <c r="F84" s="36">
        <v>0.555</v>
      </c>
      <c r="G84" s="36">
        <v>30.0</v>
      </c>
      <c r="H84" s="36">
        <v>2.32</v>
      </c>
      <c r="I84" s="36">
        <v>0.844</v>
      </c>
      <c r="J84" s="36">
        <v>0.681</v>
      </c>
    </row>
    <row r="85" ht="22.5" customHeight="1">
      <c r="A85" s="36">
        <v>28.3</v>
      </c>
      <c r="B85" s="36" t="s">
        <v>443</v>
      </c>
      <c r="C85" s="36">
        <v>2021.0</v>
      </c>
      <c r="D85" s="36">
        <v>4.34</v>
      </c>
      <c r="E85" s="36">
        <v>0.957</v>
      </c>
      <c r="F85" s="36">
        <v>0.571</v>
      </c>
      <c r="G85" s="36">
        <v>29.0</v>
      </c>
      <c r="H85" s="36">
        <v>2.57</v>
      </c>
      <c r="I85" s="36">
        <v>0.894</v>
      </c>
      <c r="J85" s="36">
        <v>0.764</v>
      </c>
    </row>
    <row r="86" ht="22.5" customHeight="1">
      <c r="A86" s="36">
        <v>29.1</v>
      </c>
      <c r="B86" s="36" t="s">
        <v>444</v>
      </c>
      <c r="C86" s="36">
        <v>2730.0</v>
      </c>
      <c r="D86" s="36">
        <v>4.84</v>
      </c>
      <c r="E86" s="36">
        <v>0.969</v>
      </c>
      <c r="F86" s="36">
        <v>0.611</v>
      </c>
      <c r="G86" s="36">
        <v>30.0</v>
      </c>
      <c r="H86" s="36">
        <v>2.79</v>
      </c>
      <c r="I86" s="36">
        <v>0.923</v>
      </c>
      <c r="J86" s="36">
        <v>0.82</v>
      </c>
    </row>
    <row r="87" ht="22.5" customHeight="1">
      <c r="A87" s="36">
        <v>29.2</v>
      </c>
      <c r="B87" s="36" t="s">
        <v>445</v>
      </c>
      <c r="C87" s="36">
        <v>2851.0</v>
      </c>
      <c r="D87" s="36">
        <v>4.67</v>
      </c>
      <c r="E87" s="36">
        <v>0.959</v>
      </c>
      <c r="F87" s="36">
        <v>0.587</v>
      </c>
      <c r="G87" s="36">
        <v>28.0</v>
      </c>
      <c r="H87" s="36">
        <v>2.54</v>
      </c>
      <c r="I87" s="36">
        <v>0.865</v>
      </c>
      <c r="J87" s="36">
        <v>0.764</v>
      </c>
    </row>
    <row r="88" ht="22.5" customHeight="1">
      <c r="A88" s="36">
        <v>29.3</v>
      </c>
      <c r="B88" s="36" t="s">
        <v>446</v>
      </c>
      <c r="C88" s="36">
        <v>2860.0</v>
      </c>
      <c r="D88" s="36">
        <v>4.51</v>
      </c>
      <c r="E88" s="36">
        <v>0.92</v>
      </c>
      <c r="F88" s="36">
        <v>0.567</v>
      </c>
      <c r="G88" s="36">
        <v>28.0</v>
      </c>
      <c r="H88" s="36">
        <v>2.88</v>
      </c>
      <c r="I88" s="36">
        <v>0.933</v>
      </c>
      <c r="J88" s="36">
        <v>0.864</v>
      </c>
    </row>
    <row r="89" ht="22.5" customHeight="1">
      <c r="A89" s="36">
        <v>30.1</v>
      </c>
      <c r="B89" s="36" t="s">
        <v>447</v>
      </c>
      <c r="C89" s="36">
        <v>2063.0</v>
      </c>
      <c r="D89" s="36">
        <v>3.77</v>
      </c>
      <c r="E89" s="36">
        <v>0.938</v>
      </c>
      <c r="F89" s="36">
        <v>0.494</v>
      </c>
      <c r="G89" s="36">
        <v>28.0</v>
      </c>
      <c r="H89" s="36">
        <v>2.72</v>
      </c>
      <c r="I89" s="36">
        <v>0.902</v>
      </c>
      <c r="J89" s="36">
        <v>0.817</v>
      </c>
    </row>
    <row r="90" ht="22.5" customHeight="1">
      <c r="A90" s="36">
        <v>30.2</v>
      </c>
      <c r="B90" s="36" t="s">
        <v>448</v>
      </c>
      <c r="C90" s="36">
        <v>2183.0</v>
      </c>
      <c r="D90" s="36">
        <v>3.9</v>
      </c>
      <c r="E90" s="36">
        <v>0.928</v>
      </c>
      <c r="F90" s="36">
        <v>0.507</v>
      </c>
      <c r="G90" s="36">
        <v>28.0</v>
      </c>
      <c r="H90" s="36">
        <v>2.41</v>
      </c>
      <c r="I90" s="36">
        <v>0.821</v>
      </c>
      <c r="J90" s="36">
        <v>0.723</v>
      </c>
    </row>
    <row r="91" ht="22.5" customHeight="1">
      <c r="A91" s="36">
        <v>30.3</v>
      </c>
      <c r="B91" s="36" t="s">
        <v>366</v>
      </c>
      <c r="C91" s="36" t="s">
        <v>366</v>
      </c>
      <c r="D91" s="36" t="s">
        <v>366</v>
      </c>
      <c r="E91" s="36" t="s">
        <v>366</v>
      </c>
      <c r="F91" s="36" t="s">
        <v>366</v>
      </c>
      <c r="G91" s="36" t="s">
        <v>366</v>
      </c>
      <c r="H91" s="36" t="s">
        <v>366</v>
      </c>
      <c r="I91" s="36" t="s">
        <v>366</v>
      </c>
      <c r="J91" s="36" t="s">
        <v>366</v>
      </c>
    </row>
    <row r="92" ht="22.5" customHeight="1">
      <c r="A92" s="36">
        <v>31.1</v>
      </c>
      <c r="B92" s="36" t="s">
        <v>449</v>
      </c>
      <c r="C92" s="36">
        <v>2887.0</v>
      </c>
      <c r="D92" s="36">
        <v>5.35</v>
      </c>
      <c r="E92" s="36">
        <v>0.988</v>
      </c>
      <c r="F92" s="36">
        <v>0.671</v>
      </c>
      <c r="G92" s="36">
        <v>28.0</v>
      </c>
      <c r="H92" s="36">
        <v>2.15</v>
      </c>
      <c r="I92" s="36">
        <v>0.802</v>
      </c>
      <c r="J92" s="36">
        <v>0.646</v>
      </c>
    </row>
    <row r="93" ht="22.5" customHeight="1">
      <c r="A93" s="36">
        <v>31.2</v>
      </c>
      <c r="B93" s="36" t="s">
        <v>450</v>
      </c>
      <c r="C93" s="36">
        <v>3048.0</v>
      </c>
      <c r="D93" s="36">
        <v>5.26</v>
      </c>
      <c r="E93" s="36">
        <v>0.986</v>
      </c>
      <c r="F93" s="36">
        <v>0.656</v>
      </c>
      <c r="G93" s="36">
        <v>28.0</v>
      </c>
      <c r="H93" s="36">
        <v>2.39</v>
      </c>
      <c r="I93" s="36">
        <v>0.855</v>
      </c>
      <c r="J93" s="36">
        <v>0.716</v>
      </c>
    </row>
    <row r="94" ht="22.5" customHeight="1">
      <c r="A94" s="36">
        <v>31.3</v>
      </c>
      <c r="B94" s="36" t="s">
        <v>451</v>
      </c>
      <c r="C94" s="36">
        <v>2886.0</v>
      </c>
      <c r="D94" s="36">
        <v>4.34</v>
      </c>
      <c r="E94" s="36">
        <v>0.921</v>
      </c>
      <c r="F94" s="36">
        <v>0.544</v>
      </c>
      <c r="G94" s="36">
        <v>28.0</v>
      </c>
      <c r="H94" s="36">
        <v>1.26</v>
      </c>
      <c r="I94" s="36">
        <v>0.491</v>
      </c>
      <c r="J94" s="36">
        <v>0.378</v>
      </c>
    </row>
    <row r="95" ht="22.5" customHeight="1">
      <c r="A95" s="36">
        <v>32.1</v>
      </c>
      <c r="B95" s="36" t="s">
        <v>452</v>
      </c>
      <c r="C95" s="36">
        <v>2415.0</v>
      </c>
      <c r="D95" s="36">
        <v>4.38</v>
      </c>
      <c r="E95" s="36">
        <v>0.958</v>
      </c>
      <c r="F95" s="36">
        <v>0.563</v>
      </c>
      <c r="G95" s="36">
        <v>28.0</v>
      </c>
      <c r="H95" s="36">
        <v>2.56</v>
      </c>
      <c r="I95" s="36">
        <v>0.878</v>
      </c>
      <c r="J95" s="36">
        <v>0.769</v>
      </c>
    </row>
    <row r="96" ht="22.5" customHeight="1">
      <c r="A96" s="36">
        <v>32.2</v>
      </c>
      <c r="B96" s="36" t="s">
        <v>453</v>
      </c>
      <c r="C96" s="36">
        <v>2348.0</v>
      </c>
      <c r="D96" s="36">
        <v>4.23</v>
      </c>
      <c r="E96" s="36">
        <v>0.954</v>
      </c>
      <c r="F96" s="36">
        <v>0.545</v>
      </c>
      <c r="G96" s="36">
        <v>27.0</v>
      </c>
      <c r="H96" s="36">
        <v>2.51</v>
      </c>
      <c r="I96" s="36">
        <v>0.87</v>
      </c>
      <c r="J96" s="36">
        <v>0.761</v>
      </c>
    </row>
    <row r="97" ht="22.5" customHeight="1">
      <c r="A97" s="36">
        <v>32.3</v>
      </c>
      <c r="B97" s="36" t="s">
        <v>454</v>
      </c>
      <c r="C97" s="36">
        <v>2296.0</v>
      </c>
      <c r="D97" s="36">
        <v>4.1</v>
      </c>
      <c r="E97" s="36">
        <v>0.951</v>
      </c>
      <c r="F97" s="36">
        <v>0.53</v>
      </c>
      <c r="G97" s="36">
        <v>28.0</v>
      </c>
      <c r="H97" s="36">
        <v>2.19</v>
      </c>
      <c r="I97" s="36">
        <v>0.793</v>
      </c>
      <c r="J97" s="36">
        <v>0.658</v>
      </c>
    </row>
    <row r="98" ht="22.5" customHeight="1">
      <c r="A98" s="36">
        <v>33.1</v>
      </c>
      <c r="B98" s="36" t="s">
        <v>455</v>
      </c>
      <c r="C98" s="36">
        <v>2908.0</v>
      </c>
      <c r="D98" s="36">
        <v>5.06</v>
      </c>
      <c r="E98" s="36">
        <v>0.981</v>
      </c>
      <c r="F98" s="36">
        <v>0.634</v>
      </c>
      <c r="G98" s="36">
        <v>27.0</v>
      </c>
      <c r="H98" s="36">
        <v>2.8</v>
      </c>
      <c r="I98" s="36">
        <v>0.916</v>
      </c>
      <c r="J98" s="36">
        <v>0.849</v>
      </c>
    </row>
    <row r="99" ht="22.5" customHeight="1">
      <c r="A99" s="36">
        <v>33.2</v>
      </c>
      <c r="B99" s="36" t="s">
        <v>456</v>
      </c>
      <c r="C99" s="36">
        <v>2875.0</v>
      </c>
      <c r="D99" s="36">
        <v>4.95</v>
      </c>
      <c r="E99" s="36">
        <v>0.978</v>
      </c>
      <c r="F99" s="36">
        <v>0.621</v>
      </c>
      <c r="G99" s="36">
        <v>28.0</v>
      </c>
      <c r="H99" s="36">
        <v>2.34</v>
      </c>
      <c r="I99" s="36">
        <v>0.837</v>
      </c>
      <c r="J99" s="36">
        <v>0.703</v>
      </c>
    </row>
    <row r="100" ht="22.5" customHeight="1">
      <c r="A100" s="36">
        <v>33.3</v>
      </c>
      <c r="B100" s="36" t="s">
        <v>457</v>
      </c>
      <c r="C100" s="36">
        <v>2593.0</v>
      </c>
      <c r="D100" s="36">
        <v>4.4</v>
      </c>
      <c r="E100" s="36">
        <v>0.963</v>
      </c>
      <c r="F100" s="36">
        <v>0.56</v>
      </c>
      <c r="G100" s="36">
        <v>28.0</v>
      </c>
      <c r="H100" s="36">
        <v>2.77</v>
      </c>
      <c r="I100" s="36">
        <v>0.92</v>
      </c>
      <c r="J100" s="36">
        <v>0.831</v>
      </c>
    </row>
    <row r="101" ht="22.5" customHeight="1">
      <c r="A101" s="36">
        <v>34.1</v>
      </c>
      <c r="B101" s="36" t="s">
        <v>458</v>
      </c>
      <c r="C101" s="36">
        <v>2718.0</v>
      </c>
      <c r="D101" s="36">
        <v>4.11</v>
      </c>
      <c r="E101" s="36">
        <v>0.887</v>
      </c>
      <c r="F101" s="36">
        <v>0.52</v>
      </c>
      <c r="G101" s="36">
        <v>28.0</v>
      </c>
      <c r="H101" s="36">
        <v>2.59</v>
      </c>
      <c r="I101" s="36">
        <v>0.892</v>
      </c>
      <c r="J101" s="36">
        <v>0.777</v>
      </c>
    </row>
    <row r="102" ht="22.5" customHeight="1">
      <c r="A102" s="36">
        <v>34.2</v>
      </c>
      <c r="B102" s="36" t="s">
        <v>459</v>
      </c>
      <c r="C102" s="36">
        <v>2756.0</v>
      </c>
      <c r="D102" s="36">
        <v>4.72</v>
      </c>
      <c r="E102" s="36">
        <v>0.946</v>
      </c>
      <c r="F102" s="36">
        <v>0.596</v>
      </c>
      <c r="G102" s="36">
        <v>28.0</v>
      </c>
      <c r="H102" s="36">
        <v>2.57</v>
      </c>
      <c r="I102" s="36">
        <v>0.896</v>
      </c>
      <c r="J102" s="36">
        <v>0.772</v>
      </c>
    </row>
    <row r="103" ht="22.5" customHeight="1">
      <c r="A103" s="36">
        <v>34.3</v>
      </c>
      <c r="B103" s="36" t="s">
        <v>460</v>
      </c>
      <c r="C103" s="36">
        <v>2927.0</v>
      </c>
      <c r="D103" s="36">
        <v>4.85</v>
      </c>
      <c r="E103" s="36">
        <v>0.947</v>
      </c>
      <c r="F103" s="36">
        <v>0.607</v>
      </c>
      <c r="G103" s="36">
        <v>28.0</v>
      </c>
      <c r="H103" s="36">
        <v>2.64</v>
      </c>
      <c r="I103" s="36">
        <v>0.904</v>
      </c>
      <c r="J103" s="36">
        <v>0.791</v>
      </c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3" max="3" width="15.25"/>
    <col customWidth="1" min="5" max="5" width="15.63"/>
    <col customWidth="1" min="6" max="6" width="17.13"/>
    <col customWidth="1" min="7" max="7" width="19.5"/>
    <col customWidth="1" min="8" max="8" width="18.0"/>
    <col customWidth="1" min="9" max="9" width="17.63"/>
    <col customWidth="1" min="10" max="10" width="16.13"/>
    <col customWidth="1" min="11" max="11" width="20.5"/>
    <col customWidth="1" min="12" max="12" width="24.25"/>
    <col customWidth="1" min="13" max="13" width="12.88"/>
  </cols>
  <sheetData>
    <row r="1" ht="22.5" customHeight="1">
      <c r="A1" s="103" t="s">
        <v>433</v>
      </c>
      <c r="B1" s="103" t="s">
        <v>320</v>
      </c>
      <c r="C1" s="103" t="s">
        <v>435</v>
      </c>
      <c r="D1" s="103" t="s">
        <v>436</v>
      </c>
      <c r="E1" s="103" t="s">
        <v>115</v>
      </c>
      <c r="F1" s="103" t="s">
        <v>437</v>
      </c>
      <c r="G1" s="103" t="s">
        <v>120</v>
      </c>
      <c r="H1" s="103" t="s">
        <v>122</v>
      </c>
      <c r="I1" s="103" t="s">
        <v>124</v>
      </c>
      <c r="J1" s="103" t="s">
        <v>126</v>
      </c>
      <c r="K1" s="103" t="s">
        <v>128</v>
      </c>
      <c r="L1" s="103" t="s">
        <v>130</v>
      </c>
      <c r="M1" s="103" t="s">
        <v>132</v>
      </c>
    </row>
    <row r="2" ht="22.5" customHeight="1">
      <c r="A2" s="104">
        <v>1.0</v>
      </c>
      <c r="B2" s="104">
        <v>1.0</v>
      </c>
      <c r="C2" s="42"/>
      <c r="D2" s="104">
        <v>746.0</v>
      </c>
      <c r="E2" s="105">
        <v>22.42</v>
      </c>
      <c r="F2" s="104">
        <v>20.103</v>
      </c>
      <c r="G2" s="104">
        <v>42.272</v>
      </c>
      <c r="H2" s="106">
        <f t="shared" ref="H2:H103" si="1">G2-E2</f>
        <v>19.852</v>
      </c>
      <c r="I2" s="104">
        <v>39.618</v>
      </c>
      <c r="J2" s="107">
        <f t="shared" ref="J2:J103" si="2">I2-E2</f>
        <v>17.198</v>
      </c>
      <c r="K2" s="108">
        <f t="shared" ref="K2:K103" si="3">((H2-J2)/H2)*1000</f>
        <v>133.6893008</v>
      </c>
      <c r="L2" s="109">
        <f>AVERAGE(K2:K4)</f>
        <v>133.027138</v>
      </c>
      <c r="M2" s="110">
        <f t="shared" ref="M2:M103" si="4">100*J2/H2</f>
        <v>86.63106992</v>
      </c>
    </row>
    <row r="3" ht="22.5" customHeight="1">
      <c r="A3" s="104">
        <v>1.0</v>
      </c>
      <c r="B3" s="104">
        <v>2.0</v>
      </c>
      <c r="C3" s="42"/>
      <c r="D3" s="104">
        <v>703.0</v>
      </c>
      <c r="E3" s="104">
        <v>22.579</v>
      </c>
      <c r="F3" s="104">
        <v>19.975</v>
      </c>
      <c r="G3" s="104">
        <v>42.302</v>
      </c>
      <c r="H3" s="111">
        <f t="shared" si="1"/>
        <v>19.723</v>
      </c>
      <c r="I3" s="104">
        <v>39.541</v>
      </c>
      <c r="J3" s="112">
        <f t="shared" si="2"/>
        <v>16.962</v>
      </c>
      <c r="K3" s="108">
        <f t="shared" si="3"/>
        <v>139.9888455</v>
      </c>
      <c r="L3" s="113"/>
      <c r="M3" s="110">
        <f t="shared" si="4"/>
        <v>86.00111545</v>
      </c>
    </row>
    <row r="4" ht="22.5" customHeight="1">
      <c r="A4" s="104">
        <v>1.0</v>
      </c>
      <c r="B4" s="104">
        <v>3.0</v>
      </c>
      <c r="C4" s="42"/>
      <c r="D4" s="104">
        <v>555.0</v>
      </c>
      <c r="E4" s="104">
        <v>18.7</v>
      </c>
      <c r="F4" s="104">
        <v>19.485</v>
      </c>
      <c r="G4" s="104">
        <v>37.918</v>
      </c>
      <c r="H4" s="111">
        <f t="shared" si="1"/>
        <v>19.218</v>
      </c>
      <c r="I4" s="104">
        <v>35.508</v>
      </c>
      <c r="J4" s="112">
        <f t="shared" si="2"/>
        <v>16.808</v>
      </c>
      <c r="K4" s="108">
        <f t="shared" si="3"/>
        <v>125.4032678</v>
      </c>
      <c r="L4" s="113"/>
      <c r="M4" s="110">
        <f t="shared" si="4"/>
        <v>87.45967322</v>
      </c>
    </row>
    <row r="5" ht="22.5" customHeight="1">
      <c r="A5" s="104">
        <v>2.0</v>
      </c>
      <c r="B5" s="104">
        <v>1.0</v>
      </c>
      <c r="C5" s="42"/>
      <c r="D5" s="104">
        <v>365.0</v>
      </c>
      <c r="E5" s="104">
        <v>19.213</v>
      </c>
      <c r="F5" s="104">
        <v>19.792</v>
      </c>
      <c r="G5" s="104">
        <v>38.745</v>
      </c>
      <c r="H5" s="111">
        <f t="shared" si="1"/>
        <v>19.532</v>
      </c>
      <c r="I5" s="104">
        <v>36.22</v>
      </c>
      <c r="J5" s="112">
        <f t="shared" si="2"/>
        <v>17.007</v>
      </c>
      <c r="K5" s="108">
        <f t="shared" si="3"/>
        <v>129.2750358</v>
      </c>
      <c r="L5" s="109">
        <f>AVERAGE(K5:K7)</f>
        <v>134.8605204</v>
      </c>
      <c r="M5" s="110">
        <f t="shared" si="4"/>
        <v>87.07249642</v>
      </c>
    </row>
    <row r="6" ht="22.5" customHeight="1">
      <c r="A6" s="104">
        <v>2.0</v>
      </c>
      <c r="B6" s="104">
        <v>2.0</v>
      </c>
      <c r="C6" s="42"/>
      <c r="D6" s="104">
        <v>576.0</v>
      </c>
      <c r="E6" s="104">
        <v>17.972</v>
      </c>
      <c r="F6" s="104">
        <v>20.126</v>
      </c>
      <c r="G6" s="104">
        <v>37.844</v>
      </c>
      <c r="H6" s="111">
        <f t="shared" si="1"/>
        <v>19.872</v>
      </c>
      <c r="I6" s="104">
        <v>35.15</v>
      </c>
      <c r="J6" s="112">
        <f t="shared" si="2"/>
        <v>17.178</v>
      </c>
      <c r="K6" s="108">
        <f t="shared" si="3"/>
        <v>135.5676329</v>
      </c>
      <c r="L6" s="113"/>
      <c r="M6" s="110">
        <f t="shared" si="4"/>
        <v>86.44323671</v>
      </c>
    </row>
    <row r="7" ht="22.5" customHeight="1">
      <c r="A7" s="104">
        <v>2.0</v>
      </c>
      <c r="B7" s="104">
        <v>3.0</v>
      </c>
      <c r="C7" s="42"/>
      <c r="D7" s="104">
        <v>476.0</v>
      </c>
      <c r="E7" s="104">
        <v>20.305</v>
      </c>
      <c r="F7" s="104">
        <v>19.639</v>
      </c>
      <c r="G7" s="104">
        <v>39.684</v>
      </c>
      <c r="H7" s="111">
        <f t="shared" si="1"/>
        <v>19.379</v>
      </c>
      <c r="I7" s="104">
        <v>36.976</v>
      </c>
      <c r="J7" s="112">
        <f t="shared" si="2"/>
        <v>16.671</v>
      </c>
      <c r="K7" s="108">
        <f t="shared" si="3"/>
        <v>139.7388926</v>
      </c>
      <c r="L7" s="113"/>
      <c r="M7" s="110">
        <f t="shared" si="4"/>
        <v>86.02611074</v>
      </c>
    </row>
    <row r="8" ht="22.5" customHeight="1">
      <c r="A8" s="104">
        <v>3.0</v>
      </c>
      <c r="B8" s="104">
        <v>1.0</v>
      </c>
      <c r="C8" s="42"/>
      <c r="D8" s="104">
        <v>398.0</v>
      </c>
      <c r="E8" s="104">
        <v>19.166</v>
      </c>
      <c r="F8" s="104">
        <v>19.736</v>
      </c>
      <c r="G8" s="104">
        <v>38.639</v>
      </c>
      <c r="H8" s="111">
        <f t="shared" si="1"/>
        <v>19.473</v>
      </c>
      <c r="I8" s="104">
        <v>35.727</v>
      </c>
      <c r="J8" s="112">
        <f t="shared" si="2"/>
        <v>16.561</v>
      </c>
      <c r="K8" s="108">
        <f t="shared" si="3"/>
        <v>149.5403893</v>
      </c>
      <c r="L8" s="109">
        <f>AVERAGE(K9:K10)</f>
        <v>145.7519688</v>
      </c>
      <c r="M8" s="110">
        <f t="shared" si="4"/>
        <v>85.04596107</v>
      </c>
    </row>
    <row r="9" ht="22.5" customHeight="1">
      <c r="A9" s="104">
        <v>3.0</v>
      </c>
      <c r="B9" s="104">
        <v>2.0</v>
      </c>
      <c r="C9" s="42"/>
      <c r="D9" s="104">
        <v>377.0</v>
      </c>
      <c r="E9" s="104">
        <v>18.687</v>
      </c>
      <c r="F9" s="104">
        <v>19.53</v>
      </c>
      <c r="G9" s="104">
        <v>37.964</v>
      </c>
      <c r="H9" s="111">
        <f t="shared" si="1"/>
        <v>19.277</v>
      </c>
      <c r="I9" s="104">
        <v>35.143</v>
      </c>
      <c r="J9" s="112">
        <f t="shared" si="2"/>
        <v>16.456</v>
      </c>
      <c r="K9" s="108">
        <f t="shared" si="3"/>
        <v>146.3401982</v>
      </c>
      <c r="L9" s="113"/>
      <c r="M9" s="110">
        <f t="shared" si="4"/>
        <v>85.36598018</v>
      </c>
    </row>
    <row r="10" ht="22.5" customHeight="1">
      <c r="A10" s="104">
        <v>3.0</v>
      </c>
      <c r="B10" s="104">
        <v>3.0</v>
      </c>
      <c r="C10" s="42"/>
      <c r="D10" s="104">
        <v>765.0</v>
      </c>
      <c r="E10" s="104">
        <v>18.1</v>
      </c>
      <c r="F10" s="104">
        <v>20.024</v>
      </c>
      <c r="G10" s="104">
        <v>37.857</v>
      </c>
      <c r="H10" s="111">
        <f t="shared" si="1"/>
        <v>19.757</v>
      </c>
      <c r="I10" s="104">
        <v>34.989</v>
      </c>
      <c r="J10" s="112">
        <f t="shared" si="2"/>
        <v>16.889</v>
      </c>
      <c r="K10" s="108">
        <f t="shared" si="3"/>
        <v>145.1637394</v>
      </c>
      <c r="L10" s="113"/>
      <c r="M10" s="110">
        <f t="shared" si="4"/>
        <v>85.48362606</v>
      </c>
    </row>
    <row r="11" ht="22.5" customHeight="1">
      <c r="A11" s="104">
        <v>4.0</v>
      </c>
      <c r="B11" s="104">
        <v>1.0</v>
      </c>
      <c r="C11" s="42"/>
      <c r="D11" s="104">
        <v>785.0</v>
      </c>
      <c r="E11" s="104">
        <v>22.595</v>
      </c>
      <c r="F11" s="104">
        <v>20.443</v>
      </c>
      <c r="G11" s="104">
        <v>42.876</v>
      </c>
      <c r="H11" s="111">
        <f t="shared" si="1"/>
        <v>20.281</v>
      </c>
      <c r="I11" s="104">
        <v>41.222</v>
      </c>
      <c r="J11" s="112">
        <f t="shared" si="2"/>
        <v>18.627</v>
      </c>
      <c r="K11" s="108">
        <f t="shared" si="3"/>
        <v>81.554164</v>
      </c>
      <c r="L11" s="109">
        <f>AVERAGE(K11:K13)</f>
        <v>75.56230173</v>
      </c>
      <c r="M11" s="110">
        <f t="shared" si="4"/>
        <v>91.8445836</v>
      </c>
    </row>
    <row r="12" ht="22.5" customHeight="1">
      <c r="A12" s="104">
        <v>4.0</v>
      </c>
      <c r="B12" s="104">
        <v>2.0</v>
      </c>
      <c r="C12" s="42"/>
      <c r="D12" s="104">
        <v>386.0</v>
      </c>
      <c r="E12" s="104">
        <v>18.972</v>
      </c>
      <c r="F12" s="104">
        <v>19.965</v>
      </c>
      <c r="G12" s="104">
        <v>38.795</v>
      </c>
      <c r="H12" s="111">
        <f t="shared" si="1"/>
        <v>19.823</v>
      </c>
      <c r="I12" s="104">
        <v>37.352</v>
      </c>
      <c r="J12" s="112">
        <f t="shared" si="2"/>
        <v>18.38</v>
      </c>
      <c r="K12" s="108">
        <f t="shared" si="3"/>
        <v>72.79422893</v>
      </c>
      <c r="L12" s="113"/>
      <c r="M12" s="110">
        <f t="shared" si="4"/>
        <v>92.72057711</v>
      </c>
    </row>
    <row r="13" ht="22.5" customHeight="1">
      <c r="A13" s="104">
        <v>4.0</v>
      </c>
      <c r="B13" s="104">
        <v>3.0</v>
      </c>
      <c r="C13" s="42"/>
      <c r="D13" s="104">
        <v>767.0</v>
      </c>
      <c r="E13" s="104">
        <v>22.664</v>
      </c>
      <c r="F13" s="104">
        <v>20.151</v>
      </c>
      <c r="G13" s="104">
        <v>42.681</v>
      </c>
      <c r="H13" s="111">
        <f t="shared" si="1"/>
        <v>20.017</v>
      </c>
      <c r="I13" s="104">
        <v>41.233</v>
      </c>
      <c r="J13" s="112">
        <f t="shared" si="2"/>
        <v>18.569</v>
      </c>
      <c r="K13" s="108">
        <f t="shared" si="3"/>
        <v>72.33851226</v>
      </c>
      <c r="L13" s="113"/>
      <c r="M13" s="110">
        <f t="shared" si="4"/>
        <v>92.76614877</v>
      </c>
    </row>
    <row r="14" ht="22.5" customHeight="1">
      <c r="A14" s="104">
        <v>5.0</v>
      </c>
      <c r="B14" s="104">
        <v>1.0</v>
      </c>
      <c r="C14" s="42"/>
      <c r="D14" s="104">
        <v>532.0</v>
      </c>
      <c r="E14" s="104">
        <v>19.291</v>
      </c>
      <c r="F14" s="104">
        <v>20.632</v>
      </c>
      <c r="G14" s="104">
        <v>39.705</v>
      </c>
      <c r="H14" s="111">
        <f t="shared" si="1"/>
        <v>20.414</v>
      </c>
      <c r="I14" s="104">
        <v>37.703</v>
      </c>
      <c r="J14" s="112">
        <f t="shared" si="2"/>
        <v>18.412</v>
      </c>
      <c r="K14" s="108">
        <f t="shared" si="3"/>
        <v>98.06995199</v>
      </c>
      <c r="L14" s="109">
        <f>AVERAGE(K14:K16)</f>
        <v>95.49697987</v>
      </c>
      <c r="M14" s="110">
        <f t="shared" si="4"/>
        <v>90.1930048</v>
      </c>
    </row>
    <row r="15" ht="22.5" customHeight="1">
      <c r="A15" s="104">
        <v>5.0</v>
      </c>
      <c r="B15" s="104">
        <v>2.0</v>
      </c>
      <c r="C15" s="42"/>
      <c r="D15" s="104">
        <v>367.0</v>
      </c>
      <c r="E15" s="104">
        <v>18.644</v>
      </c>
      <c r="F15" s="104">
        <v>20.216</v>
      </c>
      <c r="G15" s="104">
        <v>38.659</v>
      </c>
      <c r="H15" s="111">
        <f t="shared" si="1"/>
        <v>20.015</v>
      </c>
      <c r="I15" s="104">
        <v>36.774</v>
      </c>
      <c r="J15" s="112">
        <f t="shared" si="2"/>
        <v>18.13</v>
      </c>
      <c r="K15" s="108">
        <f t="shared" si="3"/>
        <v>94.17936548</v>
      </c>
      <c r="L15" s="113"/>
      <c r="M15" s="110">
        <f t="shared" si="4"/>
        <v>90.58206345</v>
      </c>
    </row>
    <row r="16" ht="22.5" customHeight="1">
      <c r="A16" s="104">
        <v>5.0</v>
      </c>
      <c r="B16" s="104">
        <v>3.0</v>
      </c>
      <c r="C16" s="42"/>
      <c r="D16" s="104">
        <v>580.0</v>
      </c>
      <c r="E16" s="104">
        <v>18.734</v>
      </c>
      <c r="F16" s="104">
        <v>20.203</v>
      </c>
      <c r="G16" s="104">
        <v>38.757</v>
      </c>
      <c r="H16" s="111">
        <f t="shared" si="1"/>
        <v>20.023</v>
      </c>
      <c r="I16" s="104">
        <v>36.87</v>
      </c>
      <c r="J16" s="112">
        <f t="shared" si="2"/>
        <v>18.136</v>
      </c>
      <c r="K16" s="108">
        <f t="shared" si="3"/>
        <v>94.24162213</v>
      </c>
      <c r="L16" s="113"/>
      <c r="M16" s="110">
        <f t="shared" si="4"/>
        <v>90.57583779</v>
      </c>
    </row>
    <row r="17" ht="22.5" customHeight="1">
      <c r="A17" s="104">
        <v>6.0</v>
      </c>
      <c r="B17" s="104">
        <v>1.0</v>
      </c>
      <c r="C17" s="42"/>
      <c r="D17" s="104">
        <v>392.0</v>
      </c>
      <c r="E17" s="104">
        <v>19.893</v>
      </c>
      <c r="F17" s="104">
        <v>20.041</v>
      </c>
      <c r="G17" s="104">
        <v>39.775</v>
      </c>
      <c r="H17" s="111">
        <f t="shared" si="1"/>
        <v>19.882</v>
      </c>
      <c r="I17" s="104">
        <v>37.975</v>
      </c>
      <c r="J17" s="112">
        <f t="shared" si="2"/>
        <v>18.082</v>
      </c>
      <c r="K17" s="108">
        <f t="shared" si="3"/>
        <v>90.53415149</v>
      </c>
      <c r="L17" s="109">
        <f>AVERAGE(K17:K19)</f>
        <v>88.48586542</v>
      </c>
      <c r="M17" s="110">
        <f t="shared" si="4"/>
        <v>90.94658485</v>
      </c>
    </row>
    <row r="18" ht="22.5" customHeight="1">
      <c r="A18" s="104">
        <v>6.0</v>
      </c>
      <c r="B18" s="104">
        <v>2.0</v>
      </c>
      <c r="C18" s="42"/>
      <c r="D18" s="104">
        <v>550.0</v>
      </c>
      <c r="E18" s="104">
        <v>19.538</v>
      </c>
      <c r="F18" s="104">
        <v>20.194</v>
      </c>
      <c r="G18" s="104">
        <v>39.532</v>
      </c>
      <c r="H18" s="111">
        <f t="shared" si="1"/>
        <v>19.994</v>
      </c>
      <c r="I18" s="104">
        <v>37.647</v>
      </c>
      <c r="J18" s="112">
        <f t="shared" si="2"/>
        <v>18.109</v>
      </c>
      <c r="K18" s="108">
        <f t="shared" si="3"/>
        <v>94.27828349</v>
      </c>
      <c r="L18" s="113"/>
      <c r="M18" s="110">
        <f t="shared" si="4"/>
        <v>90.57217165</v>
      </c>
    </row>
    <row r="19" ht="22.5" customHeight="1">
      <c r="A19" s="104">
        <v>6.0</v>
      </c>
      <c r="B19" s="104">
        <v>3.0</v>
      </c>
      <c r="C19" s="42"/>
      <c r="D19" s="104">
        <v>786.0</v>
      </c>
      <c r="E19" s="104">
        <v>22.69</v>
      </c>
      <c r="F19" s="104">
        <v>20.34</v>
      </c>
      <c r="G19" s="104">
        <v>42.84</v>
      </c>
      <c r="H19" s="111">
        <f t="shared" si="1"/>
        <v>20.15</v>
      </c>
      <c r="I19" s="104">
        <v>41.215</v>
      </c>
      <c r="J19" s="112">
        <f t="shared" si="2"/>
        <v>18.525</v>
      </c>
      <c r="K19" s="108">
        <f t="shared" si="3"/>
        <v>80.64516129</v>
      </c>
      <c r="L19" s="113"/>
      <c r="M19" s="110">
        <f t="shared" si="4"/>
        <v>91.93548387</v>
      </c>
    </row>
    <row r="20" ht="22.5" customHeight="1">
      <c r="A20" s="104">
        <v>7.0</v>
      </c>
      <c r="B20" s="104">
        <v>1.0</v>
      </c>
      <c r="C20" s="42"/>
      <c r="D20" s="104">
        <v>378.0</v>
      </c>
      <c r="E20" s="104">
        <v>19.552</v>
      </c>
      <c r="F20" s="104">
        <v>20.358</v>
      </c>
      <c r="G20" s="104">
        <v>39.716</v>
      </c>
      <c r="H20" s="111">
        <f t="shared" si="1"/>
        <v>20.164</v>
      </c>
      <c r="I20" s="104">
        <v>37.996</v>
      </c>
      <c r="J20" s="112">
        <f t="shared" si="2"/>
        <v>18.444</v>
      </c>
      <c r="K20" s="108">
        <f t="shared" si="3"/>
        <v>85.30053561</v>
      </c>
      <c r="L20" s="109">
        <f>AVERAGE(K20:K22)</f>
        <v>81.46657513</v>
      </c>
      <c r="M20" s="110">
        <f t="shared" si="4"/>
        <v>91.46994644</v>
      </c>
    </row>
    <row r="21" ht="22.5" customHeight="1">
      <c r="A21" s="104">
        <v>7.0</v>
      </c>
      <c r="B21" s="104">
        <v>2.0</v>
      </c>
      <c r="C21" s="42"/>
      <c r="D21" s="104">
        <v>523.0</v>
      </c>
      <c r="E21" s="104">
        <v>18.336</v>
      </c>
      <c r="F21" s="104">
        <v>20.19</v>
      </c>
      <c r="G21" s="104">
        <v>38.345</v>
      </c>
      <c r="H21" s="111">
        <f t="shared" si="1"/>
        <v>20.009</v>
      </c>
      <c r="I21" s="104">
        <v>36.694</v>
      </c>
      <c r="J21" s="112">
        <f t="shared" si="2"/>
        <v>18.358</v>
      </c>
      <c r="K21" s="108">
        <f t="shared" si="3"/>
        <v>82.51286921</v>
      </c>
      <c r="L21" s="113"/>
      <c r="M21" s="110">
        <f t="shared" si="4"/>
        <v>91.74871308</v>
      </c>
    </row>
    <row r="22" ht="22.5" customHeight="1">
      <c r="A22" s="104">
        <v>7.0</v>
      </c>
      <c r="B22" s="104">
        <v>3.0</v>
      </c>
      <c r="C22" s="42"/>
      <c r="D22" s="104">
        <v>445.0</v>
      </c>
      <c r="E22" s="104">
        <v>18.901</v>
      </c>
      <c r="F22" s="104">
        <v>19.584</v>
      </c>
      <c r="G22" s="104">
        <v>38.317</v>
      </c>
      <c r="H22" s="111">
        <f t="shared" si="1"/>
        <v>19.416</v>
      </c>
      <c r="I22" s="104">
        <v>36.83</v>
      </c>
      <c r="J22" s="112">
        <f t="shared" si="2"/>
        <v>17.929</v>
      </c>
      <c r="K22" s="108">
        <f t="shared" si="3"/>
        <v>76.58632056</v>
      </c>
      <c r="L22" s="113"/>
      <c r="M22" s="110">
        <f t="shared" si="4"/>
        <v>92.34136794</v>
      </c>
    </row>
    <row r="23" ht="22.5" customHeight="1">
      <c r="A23" s="104">
        <v>8.0</v>
      </c>
      <c r="B23" s="104">
        <v>1.0</v>
      </c>
      <c r="C23" s="42"/>
      <c r="D23" s="104">
        <v>371.0</v>
      </c>
      <c r="E23" s="104">
        <v>18.692</v>
      </c>
      <c r="F23" s="104">
        <v>18.017</v>
      </c>
      <c r="G23" s="104">
        <v>36.553</v>
      </c>
      <c r="H23" s="111">
        <f t="shared" si="1"/>
        <v>17.861</v>
      </c>
      <c r="I23" s="104">
        <v>35.045</v>
      </c>
      <c r="J23" s="112">
        <f t="shared" si="2"/>
        <v>16.353</v>
      </c>
      <c r="K23" s="108">
        <f t="shared" si="3"/>
        <v>84.42976317</v>
      </c>
      <c r="L23" s="109">
        <f>AVERAGE(K23:K25)</f>
        <v>86.35678858</v>
      </c>
      <c r="M23" s="110">
        <f t="shared" si="4"/>
        <v>91.55702368</v>
      </c>
    </row>
    <row r="24" ht="22.5" customHeight="1">
      <c r="A24" s="104">
        <v>8.0</v>
      </c>
      <c r="B24" s="104">
        <v>2.0</v>
      </c>
      <c r="C24" s="42"/>
      <c r="D24" s="104">
        <v>444.0</v>
      </c>
      <c r="E24" s="104">
        <v>18.88</v>
      </c>
      <c r="F24" s="104">
        <v>20.798</v>
      </c>
      <c r="G24" s="104">
        <v>39.516</v>
      </c>
      <c r="H24" s="111">
        <f t="shared" si="1"/>
        <v>20.636</v>
      </c>
      <c r="I24" s="104">
        <v>37.747</v>
      </c>
      <c r="J24" s="112">
        <f t="shared" si="2"/>
        <v>18.867</v>
      </c>
      <c r="K24" s="108">
        <f t="shared" si="3"/>
        <v>85.72397752</v>
      </c>
      <c r="L24" s="113"/>
      <c r="M24" s="110">
        <f t="shared" si="4"/>
        <v>91.42760225</v>
      </c>
    </row>
    <row r="25" ht="22.5" customHeight="1">
      <c r="A25" s="104">
        <v>8.0</v>
      </c>
      <c r="B25" s="104">
        <v>3.0</v>
      </c>
      <c r="C25" s="42"/>
      <c r="D25" s="104">
        <v>552.0</v>
      </c>
      <c r="E25" s="104">
        <v>19.602</v>
      </c>
      <c r="F25" s="104">
        <v>20.195</v>
      </c>
      <c r="G25" s="104">
        <v>39.632</v>
      </c>
      <c r="H25" s="111">
        <f t="shared" si="1"/>
        <v>20.03</v>
      </c>
      <c r="I25" s="104">
        <v>37.851</v>
      </c>
      <c r="J25" s="112">
        <f t="shared" si="2"/>
        <v>18.249</v>
      </c>
      <c r="K25" s="108">
        <f t="shared" si="3"/>
        <v>88.91662506</v>
      </c>
      <c r="L25" s="113"/>
      <c r="M25" s="110">
        <f t="shared" si="4"/>
        <v>91.10833749</v>
      </c>
    </row>
    <row r="26" ht="22.5" customHeight="1">
      <c r="A26" s="104">
        <v>9.0</v>
      </c>
      <c r="B26" s="104">
        <v>1.0</v>
      </c>
      <c r="C26" s="42"/>
      <c r="D26" s="104">
        <v>401.0</v>
      </c>
      <c r="E26" s="104">
        <v>19.501</v>
      </c>
      <c r="F26" s="104">
        <v>20.215</v>
      </c>
      <c r="G26" s="104">
        <v>39.54</v>
      </c>
      <c r="H26" s="111">
        <f t="shared" si="1"/>
        <v>20.039</v>
      </c>
      <c r="I26" s="104">
        <v>37.805</v>
      </c>
      <c r="J26" s="112">
        <f t="shared" si="2"/>
        <v>18.304</v>
      </c>
      <c r="K26" s="108">
        <f t="shared" si="3"/>
        <v>86.58116672</v>
      </c>
      <c r="L26" s="109">
        <f>AVERAGE(K26:K28)</f>
        <v>108.2835392</v>
      </c>
      <c r="M26" s="110">
        <f t="shared" si="4"/>
        <v>91.34188333</v>
      </c>
    </row>
    <row r="27" ht="22.5" customHeight="1">
      <c r="A27" s="104">
        <v>9.0</v>
      </c>
      <c r="B27" s="104">
        <v>2.0</v>
      </c>
      <c r="C27" s="42"/>
      <c r="D27" s="104">
        <v>562.0</v>
      </c>
      <c r="E27" s="104">
        <v>18.98</v>
      </c>
      <c r="F27" s="104">
        <v>20.026</v>
      </c>
      <c r="G27" s="104">
        <v>38.819</v>
      </c>
      <c r="H27" s="111">
        <f t="shared" si="1"/>
        <v>19.839</v>
      </c>
      <c r="I27" s="104">
        <v>36.739</v>
      </c>
      <c r="J27" s="112">
        <f t="shared" si="2"/>
        <v>17.759</v>
      </c>
      <c r="K27" s="108">
        <f t="shared" si="3"/>
        <v>104.8439942</v>
      </c>
      <c r="L27" s="113"/>
      <c r="M27" s="110">
        <f t="shared" si="4"/>
        <v>89.51560058</v>
      </c>
    </row>
    <row r="28" ht="22.5" customHeight="1">
      <c r="A28" s="104">
        <v>9.0</v>
      </c>
      <c r="B28" s="104">
        <v>3.0</v>
      </c>
      <c r="C28" s="42"/>
      <c r="D28" s="104">
        <v>561.0</v>
      </c>
      <c r="E28" s="104">
        <v>18.935</v>
      </c>
      <c r="F28" s="104">
        <v>19.759</v>
      </c>
      <c r="G28" s="104">
        <v>38.474</v>
      </c>
      <c r="H28" s="111">
        <f t="shared" si="1"/>
        <v>19.539</v>
      </c>
      <c r="I28" s="104">
        <v>35.867</v>
      </c>
      <c r="J28" s="112">
        <f t="shared" si="2"/>
        <v>16.932</v>
      </c>
      <c r="K28" s="108">
        <f t="shared" si="3"/>
        <v>133.4254568</v>
      </c>
      <c r="L28" s="113"/>
      <c r="M28" s="110">
        <f t="shared" si="4"/>
        <v>86.65745432</v>
      </c>
    </row>
    <row r="29" ht="22.5" customHeight="1">
      <c r="A29" s="104">
        <v>10.0</v>
      </c>
      <c r="B29" s="104">
        <v>1.0</v>
      </c>
      <c r="C29" s="42"/>
      <c r="D29" s="104">
        <v>449.0</v>
      </c>
      <c r="E29" s="104">
        <v>18.29</v>
      </c>
      <c r="F29" s="104">
        <v>20.133</v>
      </c>
      <c r="G29" s="104">
        <v>38.119</v>
      </c>
      <c r="H29" s="111">
        <f t="shared" si="1"/>
        <v>19.829</v>
      </c>
      <c r="I29" s="104">
        <v>35.096</v>
      </c>
      <c r="J29" s="112">
        <f t="shared" si="2"/>
        <v>16.806</v>
      </c>
      <c r="K29" s="108">
        <f t="shared" si="3"/>
        <v>152.4534772</v>
      </c>
      <c r="L29" s="109">
        <f>AVERAGE(K29:K31)</f>
        <v>149.7101567</v>
      </c>
      <c r="M29" s="110">
        <f t="shared" si="4"/>
        <v>84.75465228</v>
      </c>
    </row>
    <row r="30" ht="22.5" customHeight="1">
      <c r="A30" s="104">
        <v>10.0</v>
      </c>
      <c r="B30" s="104">
        <v>2.0</v>
      </c>
      <c r="C30" s="42"/>
      <c r="D30" s="104">
        <v>732.0</v>
      </c>
      <c r="E30" s="104">
        <v>18.72</v>
      </c>
      <c r="F30" s="104">
        <v>20.468</v>
      </c>
      <c r="G30" s="104">
        <v>38.872</v>
      </c>
      <c r="H30" s="111">
        <f t="shared" si="1"/>
        <v>20.152</v>
      </c>
      <c r="I30" s="104">
        <v>35.819</v>
      </c>
      <c r="J30" s="112">
        <f t="shared" si="2"/>
        <v>17.099</v>
      </c>
      <c r="K30" s="108">
        <f t="shared" si="3"/>
        <v>151.4986106</v>
      </c>
      <c r="L30" s="113"/>
      <c r="M30" s="110">
        <f t="shared" si="4"/>
        <v>84.85013894</v>
      </c>
    </row>
    <row r="31" ht="22.5" customHeight="1">
      <c r="A31" s="104">
        <v>10.0</v>
      </c>
      <c r="B31" s="104">
        <v>3.0</v>
      </c>
      <c r="C31" s="42"/>
      <c r="D31" s="104">
        <v>724.0</v>
      </c>
      <c r="E31" s="104">
        <v>22.073</v>
      </c>
      <c r="F31" s="104">
        <v>20.115</v>
      </c>
      <c r="G31" s="104">
        <v>41.89</v>
      </c>
      <c r="H31" s="111">
        <f t="shared" si="1"/>
        <v>19.817</v>
      </c>
      <c r="I31" s="104">
        <v>39.013</v>
      </c>
      <c r="J31" s="112">
        <f t="shared" si="2"/>
        <v>16.94</v>
      </c>
      <c r="K31" s="108">
        <f t="shared" si="3"/>
        <v>145.1783822</v>
      </c>
      <c r="L31" s="113"/>
      <c r="M31" s="110">
        <f t="shared" si="4"/>
        <v>85.48216178</v>
      </c>
    </row>
    <row r="32" ht="22.5" customHeight="1">
      <c r="A32" s="104">
        <v>11.0</v>
      </c>
      <c r="B32" s="104">
        <v>1.0</v>
      </c>
      <c r="C32" s="42"/>
      <c r="D32" s="104">
        <v>716.0</v>
      </c>
      <c r="E32" s="104">
        <v>22.943</v>
      </c>
      <c r="F32" s="104">
        <v>20.13</v>
      </c>
      <c r="G32" s="104">
        <v>42.865</v>
      </c>
      <c r="H32" s="111">
        <f t="shared" si="1"/>
        <v>19.922</v>
      </c>
      <c r="I32" s="104">
        <v>41.24</v>
      </c>
      <c r="J32" s="112">
        <f t="shared" si="2"/>
        <v>18.297</v>
      </c>
      <c r="K32" s="108">
        <f t="shared" si="3"/>
        <v>81.56811565</v>
      </c>
      <c r="L32" s="109">
        <f>AVERAGE(K32:K34)</f>
        <v>103.93965</v>
      </c>
      <c r="M32" s="110">
        <f t="shared" si="4"/>
        <v>91.84318843</v>
      </c>
    </row>
    <row r="33" ht="22.5" customHeight="1">
      <c r="A33" s="104">
        <v>11.0</v>
      </c>
      <c r="B33" s="104">
        <v>2.0</v>
      </c>
      <c r="C33" s="42"/>
      <c r="D33" s="104">
        <v>717.0</v>
      </c>
      <c r="E33" s="104">
        <v>18.468</v>
      </c>
      <c r="F33" s="104">
        <v>20.338</v>
      </c>
      <c r="G33" s="104">
        <v>38.586</v>
      </c>
      <c r="H33" s="111">
        <f t="shared" si="1"/>
        <v>20.118</v>
      </c>
      <c r="I33" s="104">
        <v>35.531</v>
      </c>
      <c r="J33" s="112">
        <f t="shared" si="2"/>
        <v>17.063</v>
      </c>
      <c r="K33" s="108">
        <f t="shared" si="3"/>
        <v>151.854061</v>
      </c>
      <c r="L33" s="113"/>
      <c r="M33" s="110">
        <f t="shared" si="4"/>
        <v>84.8145939</v>
      </c>
    </row>
    <row r="34" ht="22.5" customHeight="1">
      <c r="A34" s="104">
        <v>11.0</v>
      </c>
      <c r="B34" s="104">
        <v>3.0</v>
      </c>
      <c r="C34" s="42"/>
      <c r="D34" s="104">
        <v>569.0</v>
      </c>
      <c r="E34" s="104">
        <v>19.392</v>
      </c>
      <c r="F34" s="104">
        <v>20.053</v>
      </c>
      <c r="G34" s="104">
        <v>39.227</v>
      </c>
      <c r="H34" s="111">
        <f t="shared" si="1"/>
        <v>19.835</v>
      </c>
      <c r="I34" s="104">
        <v>37.672</v>
      </c>
      <c r="J34" s="112">
        <f t="shared" si="2"/>
        <v>18.28</v>
      </c>
      <c r="K34" s="108">
        <f t="shared" si="3"/>
        <v>78.39677338</v>
      </c>
      <c r="L34" s="113"/>
      <c r="M34" s="110">
        <f t="shared" si="4"/>
        <v>92.16032266</v>
      </c>
    </row>
    <row r="35" ht="22.5" customHeight="1">
      <c r="A35" s="104">
        <v>12.0</v>
      </c>
      <c r="B35" s="104">
        <v>1.0</v>
      </c>
      <c r="C35" s="42"/>
      <c r="D35" s="104">
        <v>768.0</v>
      </c>
      <c r="E35" s="104">
        <v>23.543</v>
      </c>
      <c r="F35" s="104">
        <v>20.273</v>
      </c>
      <c r="G35" s="104">
        <v>43.656</v>
      </c>
      <c r="H35" s="111">
        <f t="shared" si="1"/>
        <v>20.113</v>
      </c>
      <c r="I35" s="104">
        <v>41.955</v>
      </c>
      <c r="J35" s="112">
        <f t="shared" si="2"/>
        <v>18.412</v>
      </c>
      <c r="K35" s="108">
        <f t="shared" si="3"/>
        <v>84.57216726</v>
      </c>
      <c r="L35" s="109">
        <f>AVERAGE(K35:K37)</f>
        <v>82.96568455</v>
      </c>
      <c r="M35" s="110">
        <f t="shared" si="4"/>
        <v>91.54278327</v>
      </c>
    </row>
    <row r="36" ht="22.5" customHeight="1">
      <c r="A36" s="104">
        <v>12.0</v>
      </c>
      <c r="B36" s="104">
        <v>2.0</v>
      </c>
      <c r="C36" s="42"/>
      <c r="D36" s="104">
        <v>517.0</v>
      </c>
      <c r="E36" s="104">
        <v>18.431</v>
      </c>
      <c r="F36" s="104">
        <v>20.45</v>
      </c>
      <c r="G36" s="104">
        <v>38.72</v>
      </c>
      <c r="H36" s="111">
        <f t="shared" si="1"/>
        <v>20.289</v>
      </c>
      <c r="I36" s="104">
        <v>37.071</v>
      </c>
      <c r="J36" s="112">
        <f t="shared" si="2"/>
        <v>18.64</v>
      </c>
      <c r="K36" s="108">
        <f t="shared" si="3"/>
        <v>81.27556804</v>
      </c>
      <c r="L36" s="113"/>
      <c r="M36" s="110">
        <f t="shared" si="4"/>
        <v>91.8724432</v>
      </c>
    </row>
    <row r="37" ht="22.5" customHeight="1">
      <c r="A37" s="104">
        <v>12.0</v>
      </c>
      <c r="B37" s="104">
        <v>3.0</v>
      </c>
      <c r="C37" s="42"/>
      <c r="D37" s="104">
        <v>707.0</v>
      </c>
      <c r="E37" s="104">
        <v>22.981</v>
      </c>
      <c r="F37" s="104">
        <v>20.174</v>
      </c>
      <c r="G37" s="104">
        <v>42.933</v>
      </c>
      <c r="H37" s="111">
        <f t="shared" si="1"/>
        <v>19.952</v>
      </c>
      <c r="I37" s="104">
        <v>41.276</v>
      </c>
      <c r="J37" s="112">
        <f t="shared" si="2"/>
        <v>18.295</v>
      </c>
      <c r="K37" s="108">
        <f t="shared" si="3"/>
        <v>83.04931836</v>
      </c>
      <c r="L37" s="113"/>
      <c r="M37" s="110">
        <f t="shared" si="4"/>
        <v>91.69506816</v>
      </c>
    </row>
    <row r="38" ht="22.5" customHeight="1">
      <c r="A38" s="104">
        <v>13.0</v>
      </c>
      <c r="B38" s="104">
        <v>1.0</v>
      </c>
      <c r="C38" s="122"/>
      <c r="D38" s="104">
        <v>558.0</v>
      </c>
      <c r="E38" s="104">
        <v>19.595</v>
      </c>
      <c r="F38" s="104">
        <v>20.203</v>
      </c>
      <c r="G38" s="104">
        <v>39.495</v>
      </c>
      <c r="H38" s="111">
        <f t="shared" si="1"/>
        <v>19.9</v>
      </c>
      <c r="I38" s="104">
        <v>37.262</v>
      </c>
      <c r="J38" s="112">
        <f t="shared" si="2"/>
        <v>17.667</v>
      </c>
      <c r="K38" s="108">
        <f t="shared" si="3"/>
        <v>112.2110553</v>
      </c>
      <c r="L38" s="109">
        <f>AVERAGE(K38:K40)</f>
        <v>117.2208859</v>
      </c>
      <c r="M38" s="110">
        <f t="shared" si="4"/>
        <v>88.77889447</v>
      </c>
    </row>
    <row r="39" ht="22.5" customHeight="1">
      <c r="A39" s="104">
        <v>13.0</v>
      </c>
      <c r="B39" s="104">
        <v>2.0</v>
      </c>
      <c r="C39" s="122"/>
      <c r="D39" s="104">
        <v>568.0</v>
      </c>
      <c r="E39" s="104">
        <v>18.809</v>
      </c>
      <c r="F39" s="104">
        <v>20.06</v>
      </c>
      <c r="G39" s="104">
        <v>38.599</v>
      </c>
      <c r="H39" s="111">
        <f t="shared" si="1"/>
        <v>19.79</v>
      </c>
      <c r="I39" s="104">
        <v>36.135</v>
      </c>
      <c r="J39" s="112">
        <f t="shared" si="2"/>
        <v>17.326</v>
      </c>
      <c r="K39" s="108">
        <f t="shared" si="3"/>
        <v>124.5073269</v>
      </c>
      <c r="L39" s="113"/>
      <c r="M39" s="110">
        <f t="shared" si="4"/>
        <v>87.54926731</v>
      </c>
    </row>
    <row r="40" ht="22.5" customHeight="1">
      <c r="A40" s="104">
        <v>13.0</v>
      </c>
      <c r="B40" s="104">
        <v>3.0</v>
      </c>
      <c r="C40" s="122"/>
      <c r="D40" s="104">
        <v>501.0</v>
      </c>
      <c r="E40" s="104">
        <v>19.03</v>
      </c>
      <c r="F40" s="104">
        <v>20.018</v>
      </c>
      <c r="G40" s="104">
        <v>38.77</v>
      </c>
      <c r="H40" s="111">
        <f t="shared" si="1"/>
        <v>19.74</v>
      </c>
      <c r="I40" s="104">
        <v>36.501</v>
      </c>
      <c r="J40" s="112">
        <f t="shared" si="2"/>
        <v>17.471</v>
      </c>
      <c r="K40" s="108">
        <f t="shared" si="3"/>
        <v>114.9442756</v>
      </c>
      <c r="L40" s="113"/>
      <c r="M40" s="110">
        <f t="shared" si="4"/>
        <v>88.50557244</v>
      </c>
    </row>
    <row r="41" ht="22.5" customHeight="1">
      <c r="A41" s="104">
        <v>14.0</v>
      </c>
      <c r="B41" s="104">
        <v>1.0</v>
      </c>
      <c r="C41" s="122"/>
      <c r="D41" s="104">
        <v>798.0</v>
      </c>
      <c r="E41" s="104">
        <v>22.028</v>
      </c>
      <c r="F41" s="104">
        <v>20.05</v>
      </c>
      <c r="G41" s="104">
        <v>41.695</v>
      </c>
      <c r="H41" s="111">
        <f t="shared" si="1"/>
        <v>19.667</v>
      </c>
      <c r="I41" s="104">
        <v>38.352</v>
      </c>
      <c r="J41" s="112">
        <f t="shared" si="2"/>
        <v>16.324</v>
      </c>
      <c r="K41" s="108">
        <f t="shared" si="3"/>
        <v>169.9801698</v>
      </c>
      <c r="L41" s="109">
        <f>AVERAGE(K41:K43)</f>
        <v>171.8763844</v>
      </c>
      <c r="M41" s="110">
        <f t="shared" si="4"/>
        <v>83.00198302</v>
      </c>
    </row>
    <row r="42" ht="22.5" customHeight="1">
      <c r="A42" s="104">
        <v>14.0</v>
      </c>
      <c r="B42" s="104">
        <v>2.0</v>
      </c>
      <c r="C42" s="122"/>
      <c r="D42" s="104">
        <v>572.0</v>
      </c>
      <c r="E42" s="104">
        <v>19.53</v>
      </c>
      <c r="F42" s="104">
        <v>20.027</v>
      </c>
      <c r="G42" s="104">
        <v>39.168</v>
      </c>
      <c r="H42" s="111">
        <f t="shared" si="1"/>
        <v>19.638</v>
      </c>
      <c r="I42" s="104">
        <v>35.8</v>
      </c>
      <c r="J42" s="112">
        <f t="shared" si="2"/>
        <v>16.27</v>
      </c>
      <c r="K42" s="108">
        <f t="shared" si="3"/>
        <v>171.5042265</v>
      </c>
      <c r="L42" s="113"/>
      <c r="M42" s="110">
        <f t="shared" si="4"/>
        <v>82.84957735</v>
      </c>
    </row>
    <row r="43" ht="22.5" customHeight="1">
      <c r="A43" s="104">
        <v>14.0</v>
      </c>
      <c r="B43" s="104">
        <v>3.0</v>
      </c>
      <c r="C43" s="122"/>
      <c r="D43" s="104">
        <v>583.0</v>
      </c>
      <c r="E43" s="104">
        <v>18.928</v>
      </c>
      <c r="F43" s="104">
        <v>20.068</v>
      </c>
      <c r="G43" s="104">
        <v>38.63</v>
      </c>
      <c r="H43" s="111">
        <f t="shared" si="1"/>
        <v>19.702</v>
      </c>
      <c r="I43" s="104">
        <v>35.199</v>
      </c>
      <c r="J43" s="112">
        <f t="shared" si="2"/>
        <v>16.271</v>
      </c>
      <c r="K43" s="108">
        <f t="shared" si="3"/>
        <v>174.1447569</v>
      </c>
      <c r="L43" s="113"/>
      <c r="M43" s="110">
        <f t="shared" si="4"/>
        <v>82.58552431</v>
      </c>
    </row>
    <row r="44" ht="22.5" customHeight="1">
      <c r="A44" s="104">
        <v>15.0</v>
      </c>
      <c r="B44" s="104">
        <v>1.0</v>
      </c>
      <c r="C44" s="122"/>
      <c r="D44" s="104">
        <v>432.0</v>
      </c>
      <c r="E44" s="104">
        <v>18.747</v>
      </c>
      <c r="F44" s="104">
        <v>20.1</v>
      </c>
      <c r="G44" s="104">
        <v>38.47</v>
      </c>
      <c r="H44" s="111">
        <f t="shared" si="1"/>
        <v>19.723</v>
      </c>
      <c r="I44" s="104">
        <v>34.686</v>
      </c>
      <c r="J44" s="112">
        <f t="shared" si="2"/>
        <v>15.939</v>
      </c>
      <c r="K44" s="108">
        <f t="shared" si="3"/>
        <v>191.8572225</v>
      </c>
      <c r="L44" s="109">
        <f>AVERAGE(K44:K46)</f>
        <v>191.2413808</v>
      </c>
      <c r="M44" s="110">
        <f t="shared" si="4"/>
        <v>80.81427775</v>
      </c>
    </row>
    <row r="45" ht="22.5" customHeight="1">
      <c r="A45" s="104">
        <v>15.0</v>
      </c>
      <c r="B45" s="104">
        <v>2.0</v>
      </c>
      <c r="C45" s="122"/>
      <c r="D45" s="104">
        <v>490.0</v>
      </c>
      <c r="E45" s="104">
        <v>19.078</v>
      </c>
      <c r="F45" s="104">
        <v>20.005</v>
      </c>
      <c r="G45" s="104">
        <v>38.693</v>
      </c>
      <c r="H45" s="111">
        <f t="shared" si="1"/>
        <v>19.615</v>
      </c>
      <c r="I45" s="104">
        <v>34.95</v>
      </c>
      <c r="J45" s="112">
        <f t="shared" si="2"/>
        <v>15.872</v>
      </c>
      <c r="K45" s="108">
        <f t="shared" si="3"/>
        <v>190.8233495</v>
      </c>
      <c r="L45" s="113"/>
      <c r="M45" s="110">
        <f t="shared" si="4"/>
        <v>80.91766505</v>
      </c>
    </row>
    <row r="46" ht="22.5" customHeight="1">
      <c r="A46" s="104">
        <v>15.0</v>
      </c>
      <c r="B46" s="104">
        <v>3.0</v>
      </c>
      <c r="C46" s="122"/>
      <c r="D46" s="104">
        <v>750.0</v>
      </c>
      <c r="E46" s="104">
        <v>17.812</v>
      </c>
      <c r="F46" s="104">
        <v>20.209</v>
      </c>
      <c r="G46" s="104">
        <v>37.619</v>
      </c>
      <c r="H46" s="111">
        <f t="shared" si="1"/>
        <v>19.807</v>
      </c>
      <c r="I46" s="104">
        <v>33.835</v>
      </c>
      <c r="J46" s="112">
        <f t="shared" si="2"/>
        <v>16.023</v>
      </c>
      <c r="K46" s="108">
        <f t="shared" si="3"/>
        <v>191.0435705</v>
      </c>
      <c r="L46" s="113"/>
      <c r="M46" s="110">
        <f t="shared" si="4"/>
        <v>80.89564295</v>
      </c>
    </row>
    <row r="47" ht="22.5" customHeight="1">
      <c r="A47" s="104">
        <v>16.0</v>
      </c>
      <c r="B47" s="104">
        <v>1.0</v>
      </c>
      <c r="C47" s="122"/>
      <c r="D47" s="104">
        <v>522.0</v>
      </c>
      <c r="E47" s="104">
        <v>18.46</v>
      </c>
      <c r="F47" s="104">
        <v>20.127</v>
      </c>
      <c r="G47" s="104">
        <v>38.256</v>
      </c>
      <c r="H47" s="111">
        <f t="shared" si="1"/>
        <v>19.796</v>
      </c>
      <c r="I47" s="104">
        <v>35.166</v>
      </c>
      <c r="J47" s="112">
        <f t="shared" si="2"/>
        <v>16.706</v>
      </c>
      <c r="K47" s="108">
        <f t="shared" si="3"/>
        <v>156.0921398</v>
      </c>
      <c r="L47" s="109">
        <f>AVERAGE(K47:K49)</f>
        <v>159.5480474</v>
      </c>
      <c r="M47" s="110">
        <f t="shared" si="4"/>
        <v>84.39078602</v>
      </c>
    </row>
    <row r="48" ht="22.5" customHeight="1">
      <c r="A48" s="104">
        <v>16.0</v>
      </c>
      <c r="B48" s="104">
        <v>2.0</v>
      </c>
      <c r="C48" s="122"/>
      <c r="D48" s="104">
        <v>509.0</v>
      </c>
      <c r="E48" s="104">
        <v>18.608</v>
      </c>
      <c r="F48" s="104">
        <v>20.047</v>
      </c>
      <c r="G48" s="104">
        <v>38.294</v>
      </c>
      <c r="H48" s="111">
        <f t="shared" si="1"/>
        <v>19.686</v>
      </c>
      <c r="I48" s="104">
        <v>35.132</v>
      </c>
      <c r="J48" s="112">
        <f t="shared" si="2"/>
        <v>16.524</v>
      </c>
      <c r="K48" s="108">
        <f t="shared" si="3"/>
        <v>160.6217617</v>
      </c>
      <c r="L48" s="113"/>
      <c r="M48" s="110">
        <f t="shared" si="4"/>
        <v>83.93782383</v>
      </c>
    </row>
    <row r="49" ht="22.5" customHeight="1">
      <c r="A49" s="104">
        <v>16.0</v>
      </c>
      <c r="B49" s="104">
        <v>3.0</v>
      </c>
      <c r="C49" s="122"/>
      <c r="D49" s="104">
        <v>760.0</v>
      </c>
      <c r="E49" s="104">
        <v>22.665</v>
      </c>
      <c r="F49" s="104">
        <v>20.17</v>
      </c>
      <c r="G49" s="104">
        <v>42.476</v>
      </c>
      <c r="H49" s="111">
        <f t="shared" si="1"/>
        <v>19.811</v>
      </c>
      <c r="I49" s="104">
        <v>39.268</v>
      </c>
      <c r="J49" s="112">
        <f t="shared" si="2"/>
        <v>16.603</v>
      </c>
      <c r="K49" s="108">
        <f t="shared" si="3"/>
        <v>161.9302408</v>
      </c>
      <c r="L49" s="113"/>
      <c r="M49" s="110">
        <f t="shared" si="4"/>
        <v>83.80697592</v>
      </c>
    </row>
    <row r="50" ht="22.5" customHeight="1">
      <c r="A50" s="104">
        <v>17.0</v>
      </c>
      <c r="B50" s="104">
        <v>1.0</v>
      </c>
      <c r="C50" s="122"/>
      <c r="D50" s="104">
        <v>540.0</v>
      </c>
      <c r="E50" s="104">
        <v>19.403</v>
      </c>
      <c r="F50" s="104">
        <v>20.13</v>
      </c>
      <c r="G50" s="104">
        <v>39.285</v>
      </c>
      <c r="H50" s="111">
        <f t="shared" si="1"/>
        <v>19.882</v>
      </c>
      <c r="I50" s="104">
        <v>35.778</v>
      </c>
      <c r="J50" s="112">
        <f t="shared" si="2"/>
        <v>16.375</v>
      </c>
      <c r="K50" s="108">
        <f t="shared" si="3"/>
        <v>176.3907052</v>
      </c>
      <c r="L50" s="109">
        <f>AVERAGE(K50:K52)</f>
        <v>172.4729794</v>
      </c>
      <c r="M50" s="110">
        <f t="shared" si="4"/>
        <v>82.36092948</v>
      </c>
    </row>
    <row r="51" ht="22.5" customHeight="1">
      <c r="A51" s="104">
        <v>17.0</v>
      </c>
      <c r="B51" s="104">
        <v>2.0</v>
      </c>
      <c r="C51" s="122"/>
      <c r="D51" s="104">
        <v>465.0</v>
      </c>
      <c r="E51" s="104">
        <v>19.286</v>
      </c>
      <c r="F51" s="104">
        <v>20.024</v>
      </c>
      <c r="G51" s="104">
        <v>39.05</v>
      </c>
      <c r="H51" s="111">
        <f t="shared" si="1"/>
        <v>19.764</v>
      </c>
      <c r="I51" s="104">
        <v>35.35</v>
      </c>
      <c r="J51" s="112">
        <f t="shared" si="2"/>
        <v>16.064</v>
      </c>
      <c r="K51" s="108">
        <f t="shared" si="3"/>
        <v>187.209067</v>
      </c>
      <c r="L51" s="113"/>
      <c r="M51" s="110">
        <f t="shared" si="4"/>
        <v>81.2790933</v>
      </c>
    </row>
    <row r="52" ht="22.5" customHeight="1">
      <c r="A52" s="104">
        <v>17.0</v>
      </c>
      <c r="B52" s="104">
        <v>3.0</v>
      </c>
      <c r="C52" s="122"/>
      <c r="D52" s="104">
        <v>470.0</v>
      </c>
      <c r="E52" s="104">
        <v>20.047</v>
      </c>
      <c r="F52" s="104">
        <v>20.169</v>
      </c>
      <c r="G52" s="104">
        <v>39.999</v>
      </c>
      <c r="H52" s="111">
        <f t="shared" si="1"/>
        <v>19.952</v>
      </c>
      <c r="I52" s="104">
        <v>36.93</v>
      </c>
      <c r="J52" s="112">
        <f t="shared" si="2"/>
        <v>16.883</v>
      </c>
      <c r="K52" s="108">
        <f t="shared" si="3"/>
        <v>153.819166</v>
      </c>
      <c r="L52" s="113"/>
      <c r="M52" s="110">
        <f t="shared" si="4"/>
        <v>84.6180834</v>
      </c>
    </row>
    <row r="53" ht="22.5" customHeight="1">
      <c r="A53" s="104">
        <v>18.0</v>
      </c>
      <c r="B53" s="104">
        <v>1.0</v>
      </c>
      <c r="C53" s="122"/>
      <c r="D53" s="104">
        <v>466.0</v>
      </c>
      <c r="E53" s="104">
        <v>19.379</v>
      </c>
      <c r="F53" s="104">
        <v>20.035</v>
      </c>
      <c r="G53" s="104">
        <v>39.135</v>
      </c>
      <c r="H53" s="111">
        <f t="shared" si="1"/>
        <v>19.756</v>
      </c>
      <c r="I53" s="104">
        <v>35.635</v>
      </c>
      <c r="J53" s="112">
        <f t="shared" si="2"/>
        <v>16.256</v>
      </c>
      <c r="K53" s="108">
        <f t="shared" si="3"/>
        <v>177.1613687</v>
      </c>
      <c r="L53" s="109">
        <f>AVERAGE(K53:K55)</f>
        <v>177.7423439</v>
      </c>
      <c r="M53" s="110">
        <f t="shared" si="4"/>
        <v>82.28386313</v>
      </c>
    </row>
    <row r="54" ht="22.5" customHeight="1">
      <c r="A54" s="104">
        <v>18.0</v>
      </c>
      <c r="B54" s="104">
        <v>2.0</v>
      </c>
      <c r="C54" s="122"/>
      <c r="D54" s="104">
        <v>461.0</v>
      </c>
      <c r="E54" s="104">
        <v>18.983</v>
      </c>
      <c r="F54" s="104">
        <v>20.05</v>
      </c>
      <c r="G54" s="104">
        <v>38.785</v>
      </c>
      <c r="H54" s="111">
        <f t="shared" si="1"/>
        <v>19.802</v>
      </c>
      <c r="I54" s="104">
        <v>35.143</v>
      </c>
      <c r="J54" s="112">
        <f t="shared" si="2"/>
        <v>16.16</v>
      </c>
      <c r="K54" s="108">
        <f t="shared" si="3"/>
        <v>183.9208161</v>
      </c>
      <c r="L54" s="113"/>
      <c r="M54" s="110">
        <f t="shared" si="4"/>
        <v>81.60791839</v>
      </c>
    </row>
    <row r="55" ht="22.5" customHeight="1">
      <c r="A55" s="104">
        <v>18.0</v>
      </c>
      <c r="B55" s="104">
        <v>3.0</v>
      </c>
      <c r="C55" s="122"/>
      <c r="D55" s="104">
        <v>446.0</v>
      </c>
      <c r="E55" s="104">
        <v>18.579</v>
      </c>
      <c r="F55" s="104">
        <v>20.012</v>
      </c>
      <c r="G55" s="104">
        <v>38.324</v>
      </c>
      <c r="H55" s="111">
        <f t="shared" si="1"/>
        <v>19.745</v>
      </c>
      <c r="I55" s="104">
        <v>34.925</v>
      </c>
      <c r="J55" s="112">
        <f t="shared" si="2"/>
        <v>16.346</v>
      </c>
      <c r="K55" s="108">
        <f t="shared" si="3"/>
        <v>172.1448468</v>
      </c>
      <c r="L55" s="113"/>
      <c r="M55" s="110">
        <f t="shared" si="4"/>
        <v>82.78551532</v>
      </c>
    </row>
    <row r="56" ht="22.5" customHeight="1">
      <c r="A56" s="104">
        <v>19.0</v>
      </c>
      <c r="B56" s="104">
        <v>1.0</v>
      </c>
      <c r="C56" s="122"/>
      <c r="D56" s="104">
        <v>510.0</v>
      </c>
      <c r="E56" s="104">
        <v>19.808</v>
      </c>
      <c r="F56" s="104">
        <v>20.013</v>
      </c>
      <c r="G56" s="104">
        <v>39.613</v>
      </c>
      <c r="H56" s="111">
        <f t="shared" si="1"/>
        <v>19.805</v>
      </c>
      <c r="I56" s="104">
        <v>36.78</v>
      </c>
      <c r="J56" s="112">
        <f t="shared" si="2"/>
        <v>16.972</v>
      </c>
      <c r="K56" s="108">
        <f t="shared" si="3"/>
        <v>143.0446857</v>
      </c>
      <c r="L56" s="109">
        <f>AVERAGE(K56:K58)</f>
        <v>140.7781035</v>
      </c>
      <c r="M56" s="110">
        <f t="shared" si="4"/>
        <v>85.69553143</v>
      </c>
    </row>
    <row r="57" ht="22.5" customHeight="1">
      <c r="A57" s="104">
        <v>19.0</v>
      </c>
      <c r="B57" s="104">
        <v>2.0</v>
      </c>
      <c r="C57" s="122"/>
      <c r="D57" s="104">
        <v>452.0</v>
      </c>
      <c r="E57" s="104">
        <v>19.065</v>
      </c>
      <c r="F57" s="104">
        <v>20.01</v>
      </c>
      <c r="G57" s="104">
        <v>38.925</v>
      </c>
      <c r="H57" s="111">
        <f t="shared" si="1"/>
        <v>19.86</v>
      </c>
      <c r="I57" s="104">
        <v>36.245</v>
      </c>
      <c r="J57" s="112">
        <f t="shared" si="2"/>
        <v>17.18</v>
      </c>
      <c r="K57" s="108">
        <f t="shared" si="3"/>
        <v>134.9446123</v>
      </c>
      <c r="L57" s="113"/>
      <c r="M57" s="110">
        <f t="shared" si="4"/>
        <v>86.50553877</v>
      </c>
    </row>
    <row r="58" ht="22.5" customHeight="1">
      <c r="A58" s="104">
        <v>19.0</v>
      </c>
      <c r="B58" s="104">
        <v>3.0</v>
      </c>
      <c r="C58" s="122"/>
      <c r="D58" s="104">
        <v>480.0</v>
      </c>
      <c r="E58" s="104">
        <v>21.042</v>
      </c>
      <c r="F58" s="104">
        <v>20.003</v>
      </c>
      <c r="G58" s="104">
        <v>40.821</v>
      </c>
      <c r="H58" s="111">
        <f t="shared" si="1"/>
        <v>19.779</v>
      </c>
      <c r="I58" s="104">
        <v>37.966</v>
      </c>
      <c r="J58" s="112">
        <f t="shared" si="2"/>
        <v>16.924</v>
      </c>
      <c r="K58" s="108">
        <f t="shared" si="3"/>
        <v>144.3450124</v>
      </c>
      <c r="L58" s="113"/>
      <c r="M58" s="110">
        <f t="shared" si="4"/>
        <v>85.56549876</v>
      </c>
    </row>
    <row r="59" ht="22.5" customHeight="1">
      <c r="A59" s="104">
        <v>20.0</v>
      </c>
      <c r="B59" s="104">
        <v>1.0</v>
      </c>
      <c r="C59" s="122"/>
      <c r="D59" s="104">
        <v>103.0</v>
      </c>
      <c r="E59" s="104">
        <v>19.46</v>
      </c>
      <c r="F59" s="104">
        <v>20.122</v>
      </c>
      <c r="G59" s="104">
        <v>39.336</v>
      </c>
      <c r="H59" s="111">
        <f t="shared" si="1"/>
        <v>19.876</v>
      </c>
      <c r="I59" s="104">
        <v>36.311</v>
      </c>
      <c r="J59" s="112">
        <f t="shared" si="2"/>
        <v>16.851</v>
      </c>
      <c r="K59" s="108">
        <f t="shared" si="3"/>
        <v>152.1936003</v>
      </c>
      <c r="L59" s="109">
        <f>AVERAGE(K59:K61)</f>
        <v>141.114978</v>
      </c>
      <c r="M59" s="110">
        <f t="shared" si="4"/>
        <v>84.78063997</v>
      </c>
    </row>
    <row r="60" ht="22.5" customHeight="1">
      <c r="A60" s="104">
        <v>20.0</v>
      </c>
      <c r="B60" s="104">
        <v>2.0</v>
      </c>
      <c r="C60" s="122"/>
      <c r="D60" s="104">
        <v>464.0</v>
      </c>
      <c r="E60" s="104">
        <v>19.809</v>
      </c>
      <c r="F60" s="104">
        <v>20.059</v>
      </c>
      <c r="G60" s="104">
        <v>39.64</v>
      </c>
      <c r="H60" s="111">
        <f t="shared" si="1"/>
        <v>19.831</v>
      </c>
      <c r="I60" s="104">
        <v>36.9</v>
      </c>
      <c r="J60" s="112">
        <f t="shared" si="2"/>
        <v>17.091</v>
      </c>
      <c r="K60" s="108">
        <f t="shared" si="3"/>
        <v>138.1675155</v>
      </c>
      <c r="L60" s="113"/>
      <c r="M60" s="110">
        <f t="shared" si="4"/>
        <v>86.18324845</v>
      </c>
    </row>
    <row r="61" ht="22.5" customHeight="1">
      <c r="A61" s="104">
        <v>20.0</v>
      </c>
      <c r="B61" s="104">
        <v>3.0</v>
      </c>
      <c r="C61" s="122"/>
      <c r="D61" s="104">
        <v>499.0</v>
      </c>
      <c r="E61" s="104">
        <v>20.244</v>
      </c>
      <c r="F61" s="104">
        <v>20.074</v>
      </c>
      <c r="G61" s="104">
        <v>40.081</v>
      </c>
      <c r="H61" s="111">
        <f t="shared" si="1"/>
        <v>19.837</v>
      </c>
      <c r="I61" s="104">
        <v>37.443</v>
      </c>
      <c r="J61" s="112">
        <f t="shared" si="2"/>
        <v>17.199</v>
      </c>
      <c r="K61" s="108">
        <f t="shared" si="3"/>
        <v>132.9838181</v>
      </c>
      <c r="L61" s="113"/>
      <c r="M61" s="110">
        <f t="shared" si="4"/>
        <v>86.70161819</v>
      </c>
    </row>
    <row r="62" ht="22.5" customHeight="1">
      <c r="A62" s="104">
        <v>21.0</v>
      </c>
      <c r="B62" s="104">
        <v>1.0</v>
      </c>
      <c r="C62" s="122"/>
      <c r="D62" s="104">
        <v>456.0</v>
      </c>
      <c r="E62" s="104">
        <v>19.011</v>
      </c>
      <c r="F62" s="104">
        <v>20.005</v>
      </c>
      <c r="G62" s="104">
        <v>38.74</v>
      </c>
      <c r="H62" s="111">
        <f t="shared" si="1"/>
        <v>19.729</v>
      </c>
      <c r="I62" s="104">
        <v>34.245</v>
      </c>
      <c r="J62" s="112">
        <f t="shared" si="2"/>
        <v>15.234</v>
      </c>
      <c r="K62" s="108">
        <f t="shared" si="3"/>
        <v>227.837194</v>
      </c>
      <c r="L62" s="109">
        <f>AVERAGE(K62:K64)</f>
        <v>208.7739446</v>
      </c>
      <c r="M62" s="110">
        <f t="shared" si="4"/>
        <v>77.2162806</v>
      </c>
    </row>
    <row r="63" ht="22.5" customHeight="1">
      <c r="A63" s="104">
        <v>21.0</v>
      </c>
      <c r="B63" s="104">
        <v>2.0</v>
      </c>
      <c r="C63" s="122"/>
      <c r="D63" s="104">
        <v>467.0</v>
      </c>
      <c r="E63" s="104">
        <v>20.693</v>
      </c>
      <c r="F63" s="104">
        <v>20.046</v>
      </c>
      <c r="G63" s="104">
        <v>40.46</v>
      </c>
      <c r="H63" s="111">
        <f t="shared" si="1"/>
        <v>19.767</v>
      </c>
      <c r="I63" s="104">
        <v>36.435</v>
      </c>
      <c r="J63" s="112">
        <f t="shared" si="2"/>
        <v>15.742</v>
      </c>
      <c r="K63" s="108">
        <f t="shared" si="3"/>
        <v>203.6221986</v>
      </c>
      <c r="L63" s="113"/>
      <c r="M63" s="110">
        <f t="shared" si="4"/>
        <v>79.63778014</v>
      </c>
    </row>
    <row r="64" ht="22.5" customHeight="1">
      <c r="A64" s="104">
        <v>21.0</v>
      </c>
      <c r="B64" s="104">
        <v>3.0</v>
      </c>
      <c r="C64" s="122"/>
      <c r="D64" s="104">
        <v>424.0</v>
      </c>
      <c r="E64" s="104">
        <v>18.704</v>
      </c>
      <c r="F64" s="104">
        <v>20.024</v>
      </c>
      <c r="G64" s="104">
        <v>38.441</v>
      </c>
      <c r="H64" s="111">
        <f t="shared" si="1"/>
        <v>19.737</v>
      </c>
      <c r="I64" s="104">
        <v>34.595</v>
      </c>
      <c r="J64" s="112">
        <f t="shared" si="2"/>
        <v>15.891</v>
      </c>
      <c r="K64" s="108">
        <f t="shared" si="3"/>
        <v>194.8624411</v>
      </c>
      <c r="L64" s="113"/>
      <c r="M64" s="110">
        <f t="shared" si="4"/>
        <v>80.51375589</v>
      </c>
    </row>
    <row r="65" ht="22.5" customHeight="1">
      <c r="A65" s="104">
        <v>22.0</v>
      </c>
      <c r="B65" s="104">
        <v>1.0</v>
      </c>
      <c r="C65" s="122"/>
      <c r="D65" s="104">
        <v>457.0</v>
      </c>
      <c r="E65" s="104">
        <v>19.603</v>
      </c>
      <c r="F65" s="104">
        <v>20.187</v>
      </c>
      <c r="G65" s="104">
        <v>39.403</v>
      </c>
      <c r="H65" s="111">
        <f t="shared" si="1"/>
        <v>19.8</v>
      </c>
      <c r="I65" s="104">
        <v>35.6</v>
      </c>
      <c r="J65" s="112">
        <f t="shared" si="2"/>
        <v>15.997</v>
      </c>
      <c r="K65" s="108">
        <f t="shared" si="3"/>
        <v>192.0707071</v>
      </c>
      <c r="L65" s="109">
        <f>AVERAGE(K65:K67)</f>
        <v>189.3465047</v>
      </c>
      <c r="M65" s="110">
        <f t="shared" si="4"/>
        <v>80.79292929</v>
      </c>
    </row>
    <row r="66" ht="22.5" customHeight="1">
      <c r="A66" s="104">
        <v>22.0</v>
      </c>
      <c r="B66" s="104">
        <v>2.0</v>
      </c>
      <c r="C66" s="122"/>
      <c r="D66" s="104">
        <v>545.0</v>
      </c>
      <c r="E66" s="104">
        <v>19.62</v>
      </c>
      <c r="F66" s="104">
        <v>20.142</v>
      </c>
      <c r="G66" s="104">
        <v>39.305</v>
      </c>
      <c r="H66" s="111">
        <f t="shared" si="1"/>
        <v>19.685</v>
      </c>
      <c r="I66" s="104">
        <v>35.358</v>
      </c>
      <c r="J66" s="112">
        <f t="shared" si="2"/>
        <v>15.738</v>
      </c>
      <c r="K66" s="108">
        <f t="shared" si="3"/>
        <v>200.508001</v>
      </c>
      <c r="L66" s="113"/>
      <c r="M66" s="110">
        <f t="shared" si="4"/>
        <v>79.9491999</v>
      </c>
    </row>
    <row r="67" ht="22.5" customHeight="1">
      <c r="A67" s="104">
        <v>22.0</v>
      </c>
      <c r="B67" s="104">
        <v>3.0</v>
      </c>
      <c r="C67" s="122"/>
      <c r="D67" s="104">
        <v>514.0</v>
      </c>
      <c r="E67" s="104">
        <v>19.251</v>
      </c>
      <c r="F67" s="104">
        <v>20.064</v>
      </c>
      <c r="G67" s="104">
        <v>38.999</v>
      </c>
      <c r="H67" s="111">
        <f t="shared" si="1"/>
        <v>19.748</v>
      </c>
      <c r="I67" s="104">
        <v>35.534</v>
      </c>
      <c r="J67" s="112">
        <f t="shared" si="2"/>
        <v>16.283</v>
      </c>
      <c r="K67" s="108">
        <f t="shared" si="3"/>
        <v>175.4608062</v>
      </c>
      <c r="L67" s="113"/>
      <c r="M67" s="110">
        <f t="shared" si="4"/>
        <v>82.45391938</v>
      </c>
    </row>
    <row r="68" ht="22.5" customHeight="1">
      <c r="A68" s="104">
        <v>23.0</v>
      </c>
      <c r="B68" s="104">
        <v>1.0</v>
      </c>
      <c r="C68" s="122"/>
      <c r="D68" s="104">
        <v>450.0</v>
      </c>
      <c r="E68" s="104">
        <v>20.335</v>
      </c>
      <c r="F68" s="104">
        <v>20.008</v>
      </c>
      <c r="G68" s="104">
        <v>40.036</v>
      </c>
      <c r="H68" s="111">
        <f t="shared" si="1"/>
        <v>19.701</v>
      </c>
      <c r="I68" s="104">
        <v>36.51</v>
      </c>
      <c r="J68" s="112">
        <f t="shared" si="2"/>
        <v>16.175</v>
      </c>
      <c r="K68" s="108">
        <f t="shared" si="3"/>
        <v>178.9756865</v>
      </c>
      <c r="L68" s="109">
        <f>AVERAGE(K68:K70)</f>
        <v>184.5857372</v>
      </c>
      <c r="M68" s="110">
        <f t="shared" si="4"/>
        <v>82.10243135</v>
      </c>
    </row>
    <row r="69" ht="22.5" customHeight="1">
      <c r="A69" s="104">
        <v>23.0</v>
      </c>
      <c r="B69" s="104">
        <v>2.0</v>
      </c>
      <c r="C69" s="122"/>
      <c r="D69" s="104">
        <v>580.0</v>
      </c>
      <c r="E69" s="104">
        <v>18.734</v>
      </c>
      <c r="F69" s="104">
        <v>20.009</v>
      </c>
      <c r="G69" s="104">
        <v>38.416</v>
      </c>
      <c r="H69" s="111">
        <f t="shared" si="1"/>
        <v>19.682</v>
      </c>
      <c r="I69" s="104">
        <v>34.853</v>
      </c>
      <c r="J69" s="112">
        <f t="shared" si="2"/>
        <v>16.119</v>
      </c>
      <c r="K69" s="108">
        <f t="shared" si="3"/>
        <v>181.0283508</v>
      </c>
      <c r="L69" s="113"/>
      <c r="M69" s="110">
        <f t="shared" si="4"/>
        <v>81.89716492</v>
      </c>
    </row>
    <row r="70" ht="22.5" customHeight="1">
      <c r="A70" s="104">
        <v>23.0</v>
      </c>
      <c r="B70" s="104">
        <v>3.0</v>
      </c>
      <c r="C70" s="122"/>
      <c r="D70" s="104">
        <v>555.0</v>
      </c>
      <c r="E70" s="104">
        <v>18.692</v>
      </c>
      <c r="F70" s="104">
        <v>20.016</v>
      </c>
      <c r="G70" s="104">
        <v>38.382</v>
      </c>
      <c r="H70" s="111">
        <f t="shared" si="1"/>
        <v>19.69</v>
      </c>
      <c r="I70" s="104">
        <v>34.567</v>
      </c>
      <c r="J70" s="112">
        <f t="shared" si="2"/>
        <v>15.875</v>
      </c>
      <c r="K70" s="108">
        <f t="shared" si="3"/>
        <v>193.7531742</v>
      </c>
      <c r="L70" s="113"/>
      <c r="M70" s="110">
        <f t="shared" si="4"/>
        <v>80.62468258</v>
      </c>
    </row>
    <row r="71" ht="22.5" customHeight="1">
      <c r="A71" s="104">
        <v>24.0</v>
      </c>
      <c r="B71" s="104">
        <v>1.0</v>
      </c>
      <c r="C71" s="122"/>
      <c r="D71" s="104">
        <v>377.0</v>
      </c>
      <c r="E71" s="104">
        <v>18.682</v>
      </c>
      <c r="F71" s="104">
        <v>20.025</v>
      </c>
      <c r="G71" s="104">
        <v>38.378</v>
      </c>
      <c r="H71" s="111">
        <f t="shared" si="1"/>
        <v>19.696</v>
      </c>
      <c r="I71" s="104">
        <v>34.493</v>
      </c>
      <c r="J71" s="112">
        <f t="shared" si="2"/>
        <v>15.811</v>
      </c>
      <c r="K71" s="108">
        <f t="shared" si="3"/>
        <v>197.2481722</v>
      </c>
      <c r="L71" s="109">
        <f>AVERAGE(K71:K73)</f>
        <v>198.5551167</v>
      </c>
      <c r="M71" s="110">
        <f t="shared" si="4"/>
        <v>80.27518278</v>
      </c>
    </row>
    <row r="72" ht="22.5" customHeight="1">
      <c r="A72" s="104">
        <v>24.0</v>
      </c>
      <c r="B72" s="104">
        <v>2.0</v>
      </c>
      <c r="C72" s="122"/>
      <c r="D72" s="104">
        <v>765.0</v>
      </c>
      <c r="E72" s="104">
        <v>18.095</v>
      </c>
      <c r="F72" s="104">
        <v>20.013</v>
      </c>
      <c r="G72" s="104">
        <v>37.78</v>
      </c>
      <c r="H72" s="111">
        <f t="shared" si="1"/>
        <v>19.685</v>
      </c>
      <c r="I72" s="104">
        <v>33.667</v>
      </c>
      <c r="J72" s="112">
        <f t="shared" si="2"/>
        <v>15.572</v>
      </c>
      <c r="K72" s="108">
        <f t="shared" si="3"/>
        <v>208.9408179</v>
      </c>
      <c r="L72" s="113"/>
      <c r="M72" s="110">
        <f t="shared" si="4"/>
        <v>79.10591821</v>
      </c>
    </row>
    <row r="73" ht="22.5" customHeight="1">
      <c r="A73" s="104">
        <v>24.0</v>
      </c>
      <c r="B73" s="104">
        <v>3.0</v>
      </c>
      <c r="C73" s="122"/>
      <c r="D73" s="104">
        <v>507.0</v>
      </c>
      <c r="E73" s="104">
        <v>18.839</v>
      </c>
      <c r="F73" s="104">
        <v>20.002</v>
      </c>
      <c r="G73" s="104">
        <v>38.509</v>
      </c>
      <c r="H73" s="111">
        <f t="shared" si="1"/>
        <v>19.67</v>
      </c>
      <c r="I73" s="104">
        <v>34.782</v>
      </c>
      <c r="J73" s="112">
        <f t="shared" si="2"/>
        <v>15.943</v>
      </c>
      <c r="K73" s="108">
        <f t="shared" si="3"/>
        <v>189.4763599</v>
      </c>
      <c r="L73" s="113"/>
      <c r="M73" s="110">
        <f t="shared" si="4"/>
        <v>81.05236401</v>
      </c>
    </row>
    <row r="74" ht="22.5" customHeight="1">
      <c r="A74" s="104">
        <v>25.0</v>
      </c>
      <c r="B74" s="104">
        <v>1.0</v>
      </c>
      <c r="C74" s="122"/>
      <c r="D74" s="104">
        <v>703.0</v>
      </c>
      <c r="E74" s="104">
        <v>22.582</v>
      </c>
      <c r="F74" s="104">
        <v>20.136</v>
      </c>
      <c r="G74" s="104">
        <v>42.413</v>
      </c>
      <c r="H74" s="111">
        <f t="shared" si="1"/>
        <v>19.831</v>
      </c>
      <c r="I74" s="104">
        <v>38.539</v>
      </c>
      <c r="J74" s="112">
        <f t="shared" si="2"/>
        <v>15.957</v>
      </c>
      <c r="K74" s="108">
        <f t="shared" si="3"/>
        <v>195.3507135</v>
      </c>
      <c r="L74" s="109">
        <f>AVERAGE(K74:K76)</f>
        <v>178.5134972</v>
      </c>
      <c r="M74" s="110">
        <f t="shared" si="4"/>
        <v>80.46492865</v>
      </c>
    </row>
    <row r="75" ht="22.5" customHeight="1">
      <c r="A75" s="104">
        <v>25.0</v>
      </c>
      <c r="B75" s="104">
        <v>2.0</v>
      </c>
      <c r="C75" s="122"/>
      <c r="D75" s="104">
        <v>562.0</v>
      </c>
      <c r="E75" s="104">
        <v>18.983</v>
      </c>
      <c r="F75" s="104">
        <v>20.062</v>
      </c>
      <c r="G75" s="104">
        <v>38.756</v>
      </c>
      <c r="H75" s="111">
        <f t="shared" si="1"/>
        <v>19.773</v>
      </c>
      <c r="I75" s="104">
        <v>35.369</v>
      </c>
      <c r="J75" s="112">
        <f t="shared" si="2"/>
        <v>16.386</v>
      </c>
      <c r="K75" s="108">
        <f t="shared" si="3"/>
        <v>171.294189</v>
      </c>
      <c r="L75" s="113"/>
      <c r="M75" s="110">
        <f t="shared" si="4"/>
        <v>82.8705811</v>
      </c>
    </row>
    <row r="76" ht="22.5" customHeight="1">
      <c r="A76" s="104">
        <v>25.0</v>
      </c>
      <c r="B76" s="104">
        <v>3.0</v>
      </c>
      <c r="C76" s="122"/>
      <c r="D76" s="104">
        <v>517.0</v>
      </c>
      <c r="E76" s="104">
        <v>18.43</v>
      </c>
      <c r="F76" s="104">
        <v>20.867</v>
      </c>
      <c r="G76" s="104">
        <v>38.993</v>
      </c>
      <c r="H76" s="111">
        <f t="shared" si="1"/>
        <v>20.563</v>
      </c>
      <c r="I76" s="104">
        <v>35.52</v>
      </c>
      <c r="J76" s="112">
        <f t="shared" si="2"/>
        <v>17.09</v>
      </c>
      <c r="K76" s="108">
        <f t="shared" si="3"/>
        <v>168.8955892</v>
      </c>
      <c r="L76" s="113"/>
      <c r="M76" s="110">
        <f t="shared" si="4"/>
        <v>83.11044108</v>
      </c>
    </row>
    <row r="77" ht="22.5" customHeight="1">
      <c r="A77" s="104">
        <v>26.0</v>
      </c>
      <c r="B77" s="104">
        <v>1.0</v>
      </c>
      <c r="C77" s="122"/>
      <c r="D77" s="104">
        <v>583.0</v>
      </c>
      <c r="E77" s="104">
        <v>18.929</v>
      </c>
      <c r="F77" s="104">
        <v>20.324</v>
      </c>
      <c r="G77" s="104">
        <v>39.11</v>
      </c>
      <c r="H77" s="111">
        <f t="shared" si="1"/>
        <v>20.181</v>
      </c>
      <c r="I77" s="104">
        <v>37.474</v>
      </c>
      <c r="J77" s="112">
        <f t="shared" si="2"/>
        <v>18.545</v>
      </c>
      <c r="K77" s="108">
        <f t="shared" si="3"/>
        <v>81.06634954</v>
      </c>
      <c r="L77" s="109">
        <f>AVERAGE(K77:K79)</f>
        <v>82.85277324</v>
      </c>
      <c r="M77" s="110">
        <f t="shared" si="4"/>
        <v>91.89336505</v>
      </c>
    </row>
    <row r="78" ht="22.5" customHeight="1">
      <c r="A78" s="104">
        <v>26.0</v>
      </c>
      <c r="B78" s="104">
        <v>2.0</v>
      </c>
      <c r="C78" s="122"/>
      <c r="D78" s="104">
        <v>724.0</v>
      </c>
      <c r="E78" s="104">
        <v>22.07</v>
      </c>
      <c r="F78" s="104">
        <v>20.18</v>
      </c>
      <c r="G78" s="104">
        <v>42.104</v>
      </c>
      <c r="H78" s="111">
        <f t="shared" si="1"/>
        <v>20.034</v>
      </c>
      <c r="I78" s="104">
        <v>40.399</v>
      </c>
      <c r="J78" s="112">
        <f t="shared" si="2"/>
        <v>18.329</v>
      </c>
      <c r="K78" s="108">
        <f t="shared" si="3"/>
        <v>85.10532095</v>
      </c>
      <c r="L78" s="113"/>
      <c r="M78" s="110">
        <f t="shared" si="4"/>
        <v>91.4894679</v>
      </c>
    </row>
    <row r="79" ht="22.5" customHeight="1">
      <c r="A79" s="104">
        <v>26.0</v>
      </c>
      <c r="B79" s="104">
        <v>3.0</v>
      </c>
      <c r="C79" s="122"/>
      <c r="D79" s="104">
        <v>716.0</v>
      </c>
      <c r="E79" s="104">
        <v>22.941</v>
      </c>
      <c r="F79" s="104">
        <v>20.054</v>
      </c>
      <c r="G79" s="104">
        <v>42.835</v>
      </c>
      <c r="H79" s="111">
        <f t="shared" si="1"/>
        <v>19.894</v>
      </c>
      <c r="I79" s="104">
        <v>41.196</v>
      </c>
      <c r="J79" s="112">
        <f t="shared" si="2"/>
        <v>18.255</v>
      </c>
      <c r="K79" s="108">
        <f t="shared" si="3"/>
        <v>82.38664924</v>
      </c>
      <c r="L79" s="113"/>
      <c r="M79" s="110">
        <f t="shared" si="4"/>
        <v>91.76133508</v>
      </c>
    </row>
    <row r="80" ht="22.5" customHeight="1">
      <c r="A80" s="104">
        <v>27.0</v>
      </c>
      <c r="B80" s="104">
        <v>1.0</v>
      </c>
      <c r="C80" s="122"/>
      <c r="D80" s="104">
        <v>550.0</v>
      </c>
      <c r="E80" s="104">
        <v>19.542</v>
      </c>
      <c r="F80" s="104">
        <v>20.15</v>
      </c>
      <c r="G80" s="104">
        <v>39.45</v>
      </c>
      <c r="H80" s="111">
        <f t="shared" si="1"/>
        <v>19.908</v>
      </c>
      <c r="I80" s="104">
        <v>37.317</v>
      </c>
      <c r="J80" s="112">
        <f t="shared" si="2"/>
        <v>17.775</v>
      </c>
      <c r="K80" s="108">
        <f t="shared" si="3"/>
        <v>107.1428571</v>
      </c>
      <c r="L80" s="109">
        <f>AVERAGE(K80:K82)</f>
        <v>112.2581999</v>
      </c>
      <c r="M80" s="110">
        <f t="shared" si="4"/>
        <v>89.28571429</v>
      </c>
    </row>
    <row r="81" ht="22.5" customHeight="1">
      <c r="A81" s="104">
        <v>27.0</v>
      </c>
      <c r="B81" s="104">
        <v>2.0</v>
      </c>
      <c r="C81" s="122"/>
      <c r="D81" s="104">
        <v>717.0</v>
      </c>
      <c r="E81" s="104">
        <v>18.463</v>
      </c>
      <c r="F81" s="104">
        <v>20.008</v>
      </c>
      <c r="G81" s="104">
        <v>38.235</v>
      </c>
      <c r="H81" s="111">
        <f t="shared" si="1"/>
        <v>19.772</v>
      </c>
      <c r="I81" s="104">
        <v>35.904</v>
      </c>
      <c r="J81" s="112">
        <f t="shared" si="2"/>
        <v>17.441</v>
      </c>
      <c r="K81" s="108">
        <f t="shared" si="3"/>
        <v>117.8939915</v>
      </c>
      <c r="L81" s="113"/>
      <c r="M81" s="110">
        <f t="shared" si="4"/>
        <v>88.21060085</v>
      </c>
    </row>
    <row r="82" ht="22.5" customHeight="1">
      <c r="A82" s="104">
        <v>27.0</v>
      </c>
      <c r="B82" s="104">
        <v>3.0</v>
      </c>
      <c r="C82" s="122"/>
      <c r="D82" s="104">
        <v>812.0</v>
      </c>
      <c r="E82" s="104">
        <v>18.85</v>
      </c>
      <c r="F82" s="104">
        <v>20.111</v>
      </c>
      <c r="G82" s="104">
        <v>38.709</v>
      </c>
      <c r="H82" s="111">
        <f t="shared" si="1"/>
        <v>19.859</v>
      </c>
      <c r="I82" s="104">
        <v>36.49</v>
      </c>
      <c r="J82" s="112">
        <f t="shared" si="2"/>
        <v>17.64</v>
      </c>
      <c r="K82" s="108">
        <f t="shared" si="3"/>
        <v>111.7377511</v>
      </c>
      <c r="L82" s="113"/>
      <c r="M82" s="110">
        <f t="shared" si="4"/>
        <v>88.82622489</v>
      </c>
    </row>
    <row r="83" ht="22.5" customHeight="1">
      <c r="A83" s="104">
        <v>28.0</v>
      </c>
      <c r="B83" s="104">
        <v>1.0</v>
      </c>
      <c r="C83" s="122"/>
      <c r="D83" s="104">
        <v>815.0</v>
      </c>
      <c r="E83" s="104">
        <v>18.74</v>
      </c>
      <c r="F83" s="104">
        <v>20.412</v>
      </c>
      <c r="G83" s="104">
        <v>38.799</v>
      </c>
      <c r="H83" s="111">
        <f t="shared" si="1"/>
        <v>20.059</v>
      </c>
      <c r="I83" s="104">
        <v>34.894</v>
      </c>
      <c r="J83" s="112">
        <f t="shared" si="2"/>
        <v>16.154</v>
      </c>
      <c r="K83" s="108">
        <f t="shared" si="3"/>
        <v>194.6757067</v>
      </c>
      <c r="L83" s="109">
        <f>AVERAGE(K83:K85)</f>
        <v>168.0358564</v>
      </c>
      <c r="M83" s="110">
        <f t="shared" si="4"/>
        <v>80.53242933</v>
      </c>
    </row>
    <row r="84" ht="22.5" customHeight="1">
      <c r="A84" s="104">
        <v>28.0</v>
      </c>
      <c r="B84" s="104">
        <v>2.0</v>
      </c>
      <c r="C84" s="122"/>
      <c r="D84" s="104">
        <v>892.0</v>
      </c>
      <c r="E84" s="104">
        <v>18.294</v>
      </c>
      <c r="F84" s="104">
        <v>20.069</v>
      </c>
      <c r="G84" s="104">
        <v>38.066</v>
      </c>
      <c r="H84" s="111">
        <f t="shared" si="1"/>
        <v>19.772</v>
      </c>
      <c r="I84" s="104">
        <v>34.636</v>
      </c>
      <c r="J84" s="112">
        <f t="shared" si="2"/>
        <v>16.342</v>
      </c>
      <c r="K84" s="108">
        <f t="shared" si="3"/>
        <v>173.4776452</v>
      </c>
      <c r="L84" s="113"/>
      <c r="M84" s="110">
        <f t="shared" si="4"/>
        <v>82.65223548</v>
      </c>
    </row>
    <row r="85" ht="22.5" customHeight="1">
      <c r="A85" s="104">
        <v>28.0</v>
      </c>
      <c r="B85" s="104">
        <v>3.0</v>
      </c>
      <c r="C85" s="122"/>
      <c r="D85" s="104">
        <v>889.0</v>
      </c>
      <c r="E85" s="104">
        <v>18.332</v>
      </c>
      <c r="F85" s="104">
        <v>20.354</v>
      </c>
      <c r="G85" s="104">
        <v>38.427</v>
      </c>
      <c r="H85" s="111">
        <f t="shared" si="1"/>
        <v>20.095</v>
      </c>
      <c r="I85" s="104">
        <v>35.695</v>
      </c>
      <c r="J85" s="112">
        <f t="shared" si="2"/>
        <v>17.363</v>
      </c>
      <c r="K85" s="108">
        <f t="shared" si="3"/>
        <v>135.9542175</v>
      </c>
      <c r="L85" s="113"/>
      <c r="M85" s="110">
        <f t="shared" si="4"/>
        <v>86.40457825</v>
      </c>
    </row>
    <row r="86" ht="22.5" customHeight="1">
      <c r="A86" s="104">
        <v>29.0</v>
      </c>
      <c r="B86" s="104">
        <v>1.0</v>
      </c>
      <c r="C86" s="122"/>
      <c r="D86" s="104">
        <v>847.0</v>
      </c>
      <c r="E86" s="104">
        <v>19.753</v>
      </c>
      <c r="F86" s="104">
        <v>20.144</v>
      </c>
      <c r="G86" s="104">
        <v>39.648</v>
      </c>
      <c r="H86" s="111">
        <f t="shared" si="1"/>
        <v>19.895</v>
      </c>
      <c r="I86" s="104">
        <v>37.122</v>
      </c>
      <c r="J86" s="112">
        <f t="shared" si="2"/>
        <v>17.369</v>
      </c>
      <c r="K86" s="108">
        <f t="shared" si="3"/>
        <v>126.9665745</v>
      </c>
      <c r="L86" s="109">
        <f>AVERAGE(K86:K88)</f>
        <v>128.1325432</v>
      </c>
      <c r="M86" s="110">
        <f t="shared" si="4"/>
        <v>87.30334255</v>
      </c>
    </row>
    <row r="87" ht="22.5" customHeight="1">
      <c r="A87" s="104">
        <v>29.0</v>
      </c>
      <c r="B87" s="104">
        <v>2.0</v>
      </c>
      <c r="C87" s="122"/>
      <c r="D87" s="104">
        <v>895.0</v>
      </c>
      <c r="E87" s="104">
        <v>18.868</v>
      </c>
      <c r="F87" s="104">
        <v>20.128</v>
      </c>
      <c r="G87" s="104">
        <v>38.728</v>
      </c>
      <c r="H87" s="111">
        <f t="shared" si="1"/>
        <v>19.86</v>
      </c>
      <c r="I87" s="104">
        <v>36.234</v>
      </c>
      <c r="J87" s="112">
        <f t="shared" si="2"/>
        <v>17.366</v>
      </c>
      <c r="K87" s="108">
        <f t="shared" si="3"/>
        <v>125.5790534</v>
      </c>
      <c r="L87" s="113"/>
      <c r="M87" s="110">
        <f t="shared" si="4"/>
        <v>87.44209466</v>
      </c>
    </row>
    <row r="88" ht="22.5" customHeight="1">
      <c r="A88" s="104">
        <v>29.0</v>
      </c>
      <c r="B88" s="104">
        <v>3.0</v>
      </c>
      <c r="C88" s="122"/>
      <c r="D88" s="104">
        <v>837.0</v>
      </c>
      <c r="E88" s="104">
        <v>17.958</v>
      </c>
      <c r="F88" s="104">
        <v>20.023</v>
      </c>
      <c r="G88" s="104">
        <v>37.715</v>
      </c>
      <c r="H88" s="111">
        <f t="shared" si="1"/>
        <v>19.757</v>
      </c>
      <c r="I88" s="104">
        <v>35.11</v>
      </c>
      <c r="J88" s="112">
        <f t="shared" si="2"/>
        <v>17.152</v>
      </c>
      <c r="K88" s="108">
        <f t="shared" si="3"/>
        <v>131.8520018</v>
      </c>
      <c r="L88" s="113"/>
      <c r="M88" s="110">
        <f t="shared" si="4"/>
        <v>86.81479982</v>
      </c>
    </row>
    <row r="89" ht="22.5" customHeight="1">
      <c r="A89" s="104">
        <v>30.0</v>
      </c>
      <c r="B89" s="104">
        <v>1.0</v>
      </c>
      <c r="C89" s="122"/>
      <c r="D89" s="104">
        <v>855.0</v>
      </c>
      <c r="E89" s="104">
        <v>19.543</v>
      </c>
      <c r="F89" s="104">
        <v>20.642</v>
      </c>
      <c r="G89" s="104">
        <v>40.018</v>
      </c>
      <c r="H89" s="111">
        <f t="shared" si="1"/>
        <v>20.475</v>
      </c>
      <c r="I89" s="104">
        <v>37.818</v>
      </c>
      <c r="J89" s="112">
        <f t="shared" si="2"/>
        <v>18.275</v>
      </c>
      <c r="K89" s="108">
        <f t="shared" si="3"/>
        <v>107.4481074</v>
      </c>
      <c r="L89" s="109">
        <f>AVERAGE(K89:K91)</f>
        <v>105.5811856</v>
      </c>
      <c r="M89" s="110">
        <f t="shared" si="4"/>
        <v>89.25518926</v>
      </c>
    </row>
    <row r="90" ht="22.5" customHeight="1">
      <c r="A90" s="104">
        <v>30.0</v>
      </c>
      <c r="B90" s="104">
        <v>2.0</v>
      </c>
      <c r="C90" s="122"/>
      <c r="D90" s="104">
        <v>708.0</v>
      </c>
      <c r="E90" s="104">
        <v>22.387</v>
      </c>
      <c r="F90" s="104">
        <v>20.16</v>
      </c>
      <c r="G90" s="104">
        <v>42.383</v>
      </c>
      <c r="H90" s="111">
        <f t="shared" si="1"/>
        <v>19.996</v>
      </c>
      <c r="I90" s="104">
        <v>40.323</v>
      </c>
      <c r="J90" s="112">
        <f t="shared" si="2"/>
        <v>17.936</v>
      </c>
      <c r="K90" s="108">
        <f t="shared" si="3"/>
        <v>103.0206041</v>
      </c>
      <c r="L90" s="113"/>
      <c r="M90" s="110">
        <f t="shared" si="4"/>
        <v>89.69793959</v>
      </c>
    </row>
    <row r="91" ht="22.5" customHeight="1">
      <c r="A91" s="104">
        <v>30.0</v>
      </c>
      <c r="B91" s="104">
        <v>3.0</v>
      </c>
      <c r="C91" s="122"/>
      <c r="D91" s="104">
        <v>807.0</v>
      </c>
      <c r="E91" s="104">
        <v>17.643</v>
      </c>
      <c r="F91" s="104">
        <v>20.029</v>
      </c>
      <c r="G91" s="104">
        <v>37.516</v>
      </c>
      <c r="H91" s="111">
        <f t="shared" si="1"/>
        <v>19.873</v>
      </c>
      <c r="I91" s="104">
        <v>35.404</v>
      </c>
      <c r="J91" s="112">
        <f t="shared" si="2"/>
        <v>17.761</v>
      </c>
      <c r="K91" s="108">
        <f t="shared" si="3"/>
        <v>106.2748453</v>
      </c>
      <c r="L91" s="113"/>
      <c r="M91" s="110">
        <f t="shared" si="4"/>
        <v>89.37251547</v>
      </c>
    </row>
    <row r="92" ht="22.5" customHeight="1">
      <c r="A92" s="104">
        <v>31.0</v>
      </c>
      <c r="B92" s="104">
        <v>1.0</v>
      </c>
      <c r="C92" s="42"/>
      <c r="D92" s="104">
        <v>861.0</v>
      </c>
      <c r="E92" s="104">
        <v>19.212</v>
      </c>
      <c r="F92" s="104">
        <v>20.045</v>
      </c>
      <c r="G92" s="104">
        <v>38.872</v>
      </c>
      <c r="H92" s="111">
        <f t="shared" si="1"/>
        <v>19.66</v>
      </c>
      <c r="I92" s="104">
        <v>35.22</v>
      </c>
      <c r="J92" s="112">
        <f t="shared" si="2"/>
        <v>16.008</v>
      </c>
      <c r="K92" s="108">
        <f t="shared" si="3"/>
        <v>185.757884</v>
      </c>
      <c r="L92" s="109">
        <f>AVERAGE(K92:K94)</f>
        <v>187.7808667</v>
      </c>
      <c r="M92" s="110">
        <f t="shared" si="4"/>
        <v>81.4242116</v>
      </c>
    </row>
    <row r="93" ht="22.5" customHeight="1">
      <c r="A93" s="104">
        <v>31.0</v>
      </c>
      <c r="B93" s="104">
        <v>2.0</v>
      </c>
      <c r="C93" s="42"/>
      <c r="D93" s="104">
        <v>860.0</v>
      </c>
      <c r="E93" s="104">
        <v>18.635</v>
      </c>
      <c r="F93" s="104">
        <v>20.054</v>
      </c>
      <c r="G93" s="104">
        <v>38.327</v>
      </c>
      <c r="H93" s="111">
        <f t="shared" si="1"/>
        <v>19.692</v>
      </c>
      <c r="I93" s="104">
        <v>34.502</v>
      </c>
      <c r="J93" s="112">
        <f t="shared" si="2"/>
        <v>15.867</v>
      </c>
      <c r="K93" s="108">
        <f t="shared" si="3"/>
        <v>194.2413163</v>
      </c>
      <c r="L93" s="113"/>
      <c r="M93" s="110">
        <f t="shared" si="4"/>
        <v>80.57586837</v>
      </c>
    </row>
    <row r="94" ht="22.5" customHeight="1">
      <c r="A94" s="104">
        <v>31.0</v>
      </c>
      <c r="B94" s="104">
        <v>3.0</v>
      </c>
      <c r="C94" s="42"/>
      <c r="D94" s="104">
        <v>800.0</v>
      </c>
      <c r="E94" s="104">
        <v>19.058</v>
      </c>
      <c r="F94" s="104">
        <v>15.159</v>
      </c>
      <c r="G94" s="104">
        <v>33.959</v>
      </c>
      <c r="H94" s="111">
        <f t="shared" si="1"/>
        <v>14.901</v>
      </c>
      <c r="I94" s="104">
        <v>31.227</v>
      </c>
      <c r="J94" s="112">
        <f t="shared" si="2"/>
        <v>12.169</v>
      </c>
      <c r="K94" s="108">
        <f t="shared" si="3"/>
        <v>183.3433998</v>
      </c>
      <c r="L94" s="113"/>
      <c r="M94" s="110">
        <f t="shared" si="4"/>
        <v>81.66566002</v>
      </c>
    </row>
    <row r="95" ht="22.5" customHeight="1">
      <c r="A95" s="104">
        <v>32.0</v>
      </c>
      <c r="B95" s="104">
        <v>1.0</v>
      </c>
      <c r="C95" s="42"/>
      <c r="D95" s="104">
        <v>813.0</v>
      </c>
      <c r="E95" s="104">
        <v>19.321</v>
      </c>
      <c r="F95" s="104">
        <v>20.332</v>
      </c>
      <c r="G95" s="104">
        <v>39.32</v>
      </c>
      <c r="H95" s="111">
        <f t="shared" si="1"/>
        <v>19.999</v>
      </c>
      <c r="I95" s="104">
        <v>35.966</v>
      </c>
      <c r="J95" s="112">
        <f t="shared" si="2"/>
        <v>16.645</v>
      </c>
      <c r="K95" s="108">
        <f t="shared" si="3"/>
        <v>167.7083854</v>
      </c>
      <c r="L95" s="109">
        <f>AVERAGE(K95:K97)</f>
        <v>166.2960641</v>
      </c>
      <c r="M95" s="110">
        <f t="shared" si="4"/>
        <v>83.22916146</v>
      </c>
    </row>
    <row r="96" ht="22.5" customHeight="1">
      <c r="A96" s="104">
        <v>32.0</v>
      </c>
      <c r="B96" s="104">
        <v>2.0</v>
      </c>
      <c r="C96" s="42"/>
      <c r="D96" s="104">
        <v>801.0</v>
      </c>
      <c r="E96" s="104">
        <v>19.407</v>
      </c>
      <c r="F96" s="104">
        <v>20.069</v>
      </c>
      <c r="G96" s="104">
        <v>39.15</v>
      </c>
      <c r="H96" s="111">
        <f t="shared" si="1"/>
        <v>19.743</v>
      </c>
      <c r="I96" s="104">
        <v>35.907</v>
      </c>
      <c r="J96" s="112">
        <f t="shared" si="2"/>
        <v>16.5</v>
      </c>
      <c r="K96" s="108">
        <f t="shared" si="3"/>
        <v>164.2607506</v>
      </c>
      <c r="L96" s="113"/>
      <c r="M96" s="110">
        <f t="shared" si="4"/>
        <v>83.57392494</v>
      </c>
    </row>
    <row r="97" ht="22.5" customHeight="1">
      <c r="A97" s="104">
        <v>32.0</v>
      </c>
      <c r="B97" s="104">
        <v>3.0</v>
      </c>
      <c r="C97" s="42"/>
      <c r="D97" s="104">
        <v>822.0</v>
      </c>
      <c r="E97" s="104">
        <v>19.635</v>
      </c>
      <c r="F97" s="104">
        <v>20.832</v>
      </c>
      <c r="G97" s="104">
        <v>40.106</v>
      </c>
      <c r="H97" s="111">
        <f t="shared" si="1"/>
        <v>20.471</v>
      </c>
      <c r="I97" s="104">
        <v>36.689</v>
      </c>
      <c r="J97" s="112">
        <f t="shared" si="2"/>
        <v>17.054</v>
      </c>
      <c r="K97" s="108">
        <f t="shared" si="3"/>
        <v>166.9190562</v>
      </c>
      <c r="L97" s="113"/>
      <c r="M97" s="110">
        <f t="shared" si="4"/>
        <v>83.30809438</v>
      </c>
    </row>
    <row r="98" ht="22.5" customHeight="1">
      <c r="A98" s="104">
        <v>33.0</v>
      </c>
      <c r="B98" s="104">
        <v>1.0</v>
      </c>
      <c r="C98" s="42"/>
      <c r="D98" s="104">
        <v>396.0</v>
      </c>
      <c r="E98" s="104">
        <v>19.167</v>
      </c>
      <c r="F98" s="104">
        <v>20.154</v>
      </c>
      <c r="G98" s="104">
        <v>39.013</v>
      </c>
      <c r="H98" s="111">
        <f t="shared" si="1"/>
        <v>19.846</v>
      </c>
      <c r="I98" s="104">
        <v>35.872</v>
      </c>
      <c r="J98" s="112">
        <f t="shared" si="2"/>
        <v>16.705</v>
      </c>
      <c r="K98" s="108">
        <f t="shared" si="3"/>
        <v>158.2686687</v>
      </c>
      <c r="L98" s="109">
        <f>AVERAGE(K98:K100)</f>
        <v>153.1236834</v>
      </c>
      <c r="M98" s="110">
        <f t="shared" si="4"/>
        <v>84.17313313</v>
      </c>
    </row>
    <row r="99" ht="22.5" customHeight="1">
      <c r="A99" s="104">
        <v>33.0</v>
      </c>
      <c r="B99" s="104">
        <v>2.0</v>
      </c>
      <c r="C99" s="42"/>
      <c r="D99" s="104">
        <v>536.0</v>
      </c>
      <c r="E99" s="104">
        <v>19.307</v>
      </c>
      <c r="F99" s="104">
        <v>20.151</v>
      </c>
      <c r="G99" s="104">
        <v>39.151</v>
      </c>
      <c r="H99" s="111">
        <f t="shared" si="1"/>
        <v>19.844</v>
      </c>
      <c r="I99" s="104">
        <v>36.425</v>
      </c>
      <c r="J99" s="112">
        <f t="shared" si="2"/>
        <v>17.118</v>
      </c>
      <c r="K99" s="108">
        <f t="shared" si="3"/>
        <v>137.3714977</v>
      </c>
      <c r="L99" s="113"/>
      <c r="M99" s="110">
        <f t="shared" si="4"/>
        <v>86.26285023</v>
      </c>
    </row>
    <row r="100" ht="22.5" customHeight="1">
      <c r="A100" s="104">
        <v>33.0</v>
      </c>
      <c r="B100" s="104">
        <v>3.0</v>
      </c>
      <c r="C100" s="42"/>
      <c r="D100" s="104">
        <v>395.0</v>
      </c>
      <c r="E100" s="104">
        <v>20.362</v>
      </c>
      <c r="F100" s="104">
        <v>20.106</v>
      </c>
      <c r="G100" s="104">
        <v>40.175</v>
      </c>
      <c r="H100" s="111">
        <f t="shared" si="1"/>
        <v>19.813</v>
      </c>
      <c r="I100" s="104">
        <v>36.931</v>
      </c>
      <c r="J100" s="112">
        <f t="shared" si="2"/>
        <v>16.569</v>
      </c>
      <c r="K100" s="108">
        <f t="shared" si="3"/>
        <v>163.7308838</v>
      </c>
      <c r="L100" s="113"/>
      <c r="M100" s="110">
        <f t="shared" si="4"/>
        <v>83.62691162</v>
      </c>
    </row>
    <row r="101" ht="22.5" customHeight="1">
      <c r="A101" s="104">
        <v>34.0</v>
      </c>
      <c r="B101" s="104">
        <v>1.0</v>
      </c>
      <c r="C101" s="42"/>
      <c r="D101" s="104">
        <v>951.0</v>
      </c>
      <c r="E101" s="104">
        <v>22.64</v>
      </c>
      <c r="F101" s="104">
        <v>20.771</v>
      </c>
      <c r="G101" s="104">
        <v>43.256</v>
      </c>
      <c r="H101" s="111">
        <f t="shared" si="1"/>
        <v>20.616</v>
      </c>
      <c r="I101" s="104">
        <v>40.875</v>
      </c>
      <c r="J101" s="112">
        <f t="shared" si="2"/>
        <v>18.235</v>
      </c>
      <c r="K101" s="108">
        <f t="shared" si="3"/>
        <v>115.4928211</v>
      </c>
      <c r="L101" s="109">
        <f>AVERAGE(K101:K103)</f>
        <v>101.299081</v>
      </c>
      <c r="M101" s="110">
        <f t="shared" si="4"/>
        <v>88.45071789</v>
      </c>
    </row>
    <row r="102" ht="22.5" customHeight="1">
      <c r="A102" s="104">
        <v>34.0</v>
      </c>
      <c r="B102" s="104">
        <v>2.0</v>
      </c>
      <c r="C102" s="42"/>
      <c r="D102" s="104">
        <v>553.0</v>
      </c>
      <c r="E102" s="104">
        <v>19.107</v>
      </c>
      <c r="F102" s="104">
        <v>20.088</v>
      </c>
      <c r="G102" s="104">
        <v>39.06</v>
      </c>
      <c r="H102" s="111">
        <f t="shared" si="1"/>
        <v>19.953</v>
      </c>
      <c r="I102" s="104">
        <v>37.038</v>
      </c>
      <c r="J102" s="112">
        <f t="shared" si="2"/>
        <v>17.931</v>
      </c>
      <c r="K102" s="108">
        <f t="shared" si="3"/>
        <v>101.3381446</v>
      </c>
      <c r="L102" s="113"/>
      <c r="M102" s="110">
        <f t="shared" si="4"/>
        <v>89.86618554</v>
      </c>
    </row>
    <row r="103" ht="22.5" customHeight="1">
      <c r="A103" s="104">
        <v>34.0</v>
      </c>
      <c r="B103" s="104">
        <v>3.0</v>
      </c>
      <c r="C103" s="42"/>
      <c r="D103" s="104">
        <v>370.0</v>
      </c>
      <c r="E103" s="104">
        <v>19.652</v>
      </c>
      <c r="F103" s="104">
        <v>20.332</v>
      </c>
      <c r="G103" s="104">
        <v>39.855</v>
      </c>
      <c r="H103" s="111">
        <f t="shared" si="1"/>
        <v>20.203</v>
      </c>
      <c r="I103" s="104">
        <v>38.096</v>
      </c>
      <c r="J103" s="112">
        <f t="shared" si="2"/>
        <v>18.444</v>
      </c>
      <c r="K103" s="108">
        <f t="shared" si="3"/>
        <v>87.06627729</v>
      </c>
      <c r="L103" s="113"/>
      <c r="M103" s="110">
        <f t="shared" si="4"/>
        <v>91.29337227</v>
      </c>
    </row>
  </sheetData>
  <dataValidations>
    <dataValidation type="custom" allowBlank="1" showDropDown="1" sqref="K2:K103">
      <formula1>AND(ISNUMBER(K2),(NOT(OR(NOT(ISERROR(DATEVALUE(K2))), AND(ISNUMBER(K2), LEFT(CELL("format", K2))="D")))))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3" max="3" width="15.25"/>
    <col customWidth="1" min="5" max="5" width="14.38"/>
    <col customWidth="1" min="6" max="6" width="29.5"/>
    <col customWidth="1" min="7" max="7" width="13.88"/>
    <col customWidth="1" min="8" max="8" width="15.13"/>
    <col customWidth="1" min="9" max="9" width="30.38"/>
    <col customWidth="1" min="10" max="10" width="29.13"/>
    <col customWidth="1" min="11" max="11" width="17.63"/>
    <col customWidth="1" min="12" max="12" width="16.13"/>
    <col customWidth="1" min="13" max="13" width="20.63"/>
    <col customWidth="1" min="14" max="14" width="24.38"/>
    <col customWidth="1" min="15" max="15" width="20.75"/>
    <col customWidth="1" min="17" max="17" width="14.75"/>
    <col customWidth="1" min="18" max="18" width="22.38"/>
  </cols>
  <sheetData>
    <row r="1" ht="22.5" customHeight="1">
      <c r="A1" s="103" t="s">
        <v>433</v>
      </c>
      <c r="B1" s="103" t="s">
        <v>320</v>
      </c>
      <c r="C1" s="103" t="s">
        <v>435</v>
      </c>
      <c r="D1" s="103" t="s">
        <v>462</v>
      </c>
      <c r="E1" s="103" t="s">
        <v>134</v>
      </c>
      <c r="F1" s="103" t="s">
        <v>137</v>
      </c>
      <c r="G1" s="103" t="s">
        <v>463</v>
      </c>
      <c r="H1" s="103" t="s">
        <v>139</v>
      </c>
      <c r="I1" s="103" t="s">
        <v>140</v>
      </c>
      <c r="J1" s="103" t="s">
        <v>142</v>
      </c>
      <c r="K1" s="103" t="s">
        <v>124</v>
      </c>
      <c r="L1" s="103" t="s">
        <v>126</v>
      </c>
      <c r="M1" s="103" t="s">
        <v>149</v>
      </c>
      <c r="N1" s="103" t="s">
        <v>151</v>
      </c>
      <c r="O1" s="103" t="s">
        <v>154</v>
      </c>
      <c r="P1" s="103" t="s">
        <v>155</v>
      </c>
      <c r="Q1" s="103" t="s">
        <v>157</v>
      </c>
      <c r="R1" s="103" t="s">
        <v>464</v>
      </c>
    </row>
    <row r="2" ht="22.5" customHeight="1">
      <c r="A2" s="104">
        <v>1.0</v>
      </c>
      <c r="B2" s="104">
        <v>1.0</v>
      </c>
      <c r="C2" s="42" t="s">
        <v>465</v>
      </c>
      <c r="D2" s="118" t="s">
        <v>466</v>
      </c>
      <c r="E2" s="119">
        <v>20.112</v>
      </c>
      <c r="F2" s="120">
        <v>19.860887628712128</v>
      </c>
      <c r="G2" s="104">
        <v>218.0</v>
      </c>
      <c r="H2" s="104">
        <v>19.146</v>
      </c>
      <c r="I2" s="104">
        <v>24.226</v>
      </c>
      <c r="J2" s="112">
        <v>5.079999999999998</v>
      </c>
      <c r="K2" s="104">
        <v>23.535</v>
      </c>
      <c r="L2" s="111">
        <v>4.388999999999999</v>
      </c>
      <c r="M2" s="108">
        <v>34.79199988025946</v>
      </c>
      <c r="N2" s="109">
        <v>43.44594492301383</v>
      </c>
      <c r="O2" s="121">
        <v>86.63106991738869</v>
      </c>
      <c r="P2" s="112">
        <v>25.508989119010064</v>
      </c>
      <c r="Q2" s="110">
        <v>74.49101088098993</v>
      </c>
      <c r="R2" s="112">
        <v>72.27093207186518</v>
      </c>
    </row>
    <row r="3" ht="22.5" customHeight="1">
      <c r="A3" s="104">
        <v>1.0</v>
      </c>
      <c r="B3" s="104">
        <v>2.0</v>
      </c>
      <c r="C3" s="42" t="s">
        <v>465</v>
      </c>
      <c r="D3" s="118" t="s">
        <v>467</v>
      </c>
      <c r="E3" s="119">
        <v>20.022</v>
      </c>
      <c r="F3" s="120">
        <v>19.769407058823525</v>
      </c>
      <c r="G3" s="104">
        <v>545.0</v>
      </c>
      <c r="H3" s="104">
        <v>19.619</v>
      </c>
      <c r="I3" s="104">
        <v>25.38</v>
      </c>
      <c r="J3" s="112">
        <v>5.760999999999999</v>
      </c>
      <c r="K3" s="104">
        <v>24.507</v>
      </c>
      <c r="L3" s="111">
        <v>4.888000000000002</v>
      </c>
      <c r="M3" s="108">
        <v>44.15913929044009</v>
      </c>
      <c r="N3" s="121"/>
      <c r="O3" s="121">
        <v>86.00111544896819</v>
      </c>
      <c r="P3" s="112">
        <v>28.749710067186932</v>
      </c>
      <c r="Q3" s="110">
        <v>71.25028993281308</v>
      </c>
      <c r="R3" s="113"/>
    </row>
    <row r="4" ht="22.5" customHeight="1">
      <c r="A4" s="104">
        <v>1.0</v>
      </c>
      <c r="B4" s="104">
        <v>3.0</v>
      </c>
      <c r="C4" s="42" t="s">
        <v>465</v>
      </c>
      <c r="D4" s="118" t="s">
        <v>468</v>
      </c>
      <c r="E4" s="119">
        <v>20.145</v>
      </c>
      <c r="F4" s="120">
        <v>19.86895612009238</v>
      </c>
      <c r="G4" s="104">
        <v>450.0</v>
      </c>
      <c r="H4" s="104">
        <v>20.339</v>
      </c>
      <c r="I4" s="104">
        <v>26.387</v>
      </c>
      <c r="J4" s="112">
        <v>6.048000000000002</v>
      </c>
      <c r="K4" s="104">
        <v>25.366</v>
      </c>
      <c r="L4" s="111">
        <v>5.027000000000001</v>
      </c>
      <c r="M4" s="108">
        <v>51.386695598341966</v>
      </c>
      <c r="N4" s="121"/>
      <c r="O4" s="121">
        <v>87.4596732230201</v>
      </c>
      <c r="P4" s="112">
        <v>28.928504598207496</v>
      </c>
      <c r="Q4" s="110">
        <v>71.0714954017925</v>
      </c>
      <c r="R4" s="113"/>
    </row>
    <row r="5" ht="22.5" customHeight="1">
      <c r="A5" s="104">
        <v>2.0</v>
      </c>
      <c r="B5" s="104">
        <v>1.0</v>
      </c>
      <c r="C5" s="42" t="s">
        <v>465</v>
      </c>
      <c r="D5" s="118" t="s">
        <v>469</v>
      </c>
      <c r="E5" s="119">
        <v>20.462</v>
      </c>
      <c r="F5" s="120">
        <v>20.193198464025862</v>
      </c>
      <c r="G5" s="104">
        <v>582.0</v>
      </c>
      <c r="H5" s="104">
        <v>19.078</v>
      </c>
      <c r="I5" s="104">
        <v>22.806</v>
      </c>
      <c r="J5" s="112">
        <v>3.7280000000000015</v>
      </c>
      <c r="K5" s="104">
        <v>22.11</v>
      </c>
      <c r="L5" s="111">
        <v>3.032</v>
      </c>
      <c r="M5" s="108">
        <v>34.46705093499298</v>
      </c>
      <c r="N5" s="109">
        <v>37.23376281908736</v>
      </c>
      <c r="O5" s="121">
        <v>87.07249641613762</v>
      </c>
      <c r="P5" s="112">
        <v>17.24420142948608</v>
      </c>
      <c r="Q5" s="110">
        <v>82.75579857051392</v>
      </c>
      <c r="R5" s="112">
        <v>82.078590241022</v>
      </c>
    </row>
    <row r="6" ht="22.5" customHeight="1">
      <c r="A6" s="104">
        <v>2.0</v>
      </c>
      <c r="B6" s="104">
        <v>2.0</v>
      </c>
      <c r="C6" s="42" t="s">
        <v>465</v>
      </c>
      <c r="D6" s="118" t="s">
        <v>470</v>
      </c>
      <c r="E6" s="119">
        <v>20.052</v>
      </c>
      <c r="F6" s="120">
        <v>19.798933916327137</v>
      </c>
      <c r="G6" s="104">
        <v>508.0</v>
      </c>
      <c r="H6" s="104">
        <v>20.118</v>
      </c>
      <c r="I6" s="104">
        <v>23.88</v>
      </c>
      <c r="J6" s="112">
        <v>3.7620000000000005</v>
      </c>
      <c r="K6" s="104">
        <v>23.135</v>
      </c>
      <c r="L6" s="111">
        <v>3.017000000000003</v>
      </c>
      <c r="M6" s="108">
        <v>37.62828863152249</v>
      </c>
      <c r="N6" s="121"/>
      <c r="O6" s="121">
        <v>86.44323671497584</v>
      </c>
      <c r="P6" s="112">
        <v>17.62797736480101</v>
      </c>
      <c r="Q6" s="110">
        <v>82.37202263519899</v>
      </c>
      <c r="R6" s="113"/>
    </row>
    <row r="7" ht="22.5" customHeight="1">
      <c r="A7" s="104">
        <v>2.0</v>
      </c>
      <c r="B7" s="104">
        <v>3.0</v>
      </c>
      <c r="C7" s="42" t="s">
        <v>465</v>
      </c>
      <c r="D7" s="118" t="s">
        <v>471</v>
      </c>
      <c r="E7" s="119">
        <v>20.035</v>
      </c>
      <c r="F7" s="120">
        <v>19.769757370538212</v>
      </c>
      <c r="G7" s="104">
        <v>507.0</v>
      </c>
      <c r="H7" s="104">
        <v>18.84</v>
      </c>
      <c r="I7" s="104">
        <v>22.836</v>
      </c>
      <c r="J7" s="112">
        <v>3.9959999999999987</v>
      </c>
      <c r="K7" s="104">
        <v>22.053</v>
      </c>
      <c r="L7" s="111">
        <v>3.213000000000001</v>
      </c>
      <c r="M7" s="108">
        <v>39.60594889074662</v>
      </c>
      <c r="N7" s="121"/>
      <c r="O7" s="121">
        <v>86.0261107384282</v>
      </c>
      <c r="P7" s="112">
        <v>18.892050482646916</v>
      </c>
      <c r="Q7" s="110">
        <v>81.10794951735309</v>
      </c>
      <c r="R7" s="113"/>
    </row>
    <row r="8" ht="22.5" customHeight="1">
      <c r="A8" s="104">
        <v>3.0</v>
      </c>
      <c r="B8" s="104">
        <v>1.0</v>
      </c>
      <c r="C8" s="42" t="s">
        <v>465</v>
      </c>
      <c r="D8" s="118" t="s">
        <v>472</v>
      </c>
      <c r="E8" s="119">
        <v>20.11</v>
      </c>
      <c r="F8" s="120">
        <v>19.842016112687475</v>
      </c>
      <c r="G8" s="104">
        <v>514.0</v>
      </c>
      <c r="H8" s="104">
        <v>19.243</v>
      </c>
      <c r="I8" s="104">
        <v>26.307</v>
      </c>
      <c r="J8" s="112">
        <v>7.064</v>
      </c>
      <c r="K8" s="104">
        <v>25.505</v>
      </c>
      <c r="L8" s="111">
        <v>6.2620000000000005</v>
      </c>
      <c r="M8" s="108">
        <v>40.41927974683888</v>
      </c>
      <c r="N8" s="109">
        <v>41.2676838243058</v>
      </c>
      <c r="O8" s="121">
        <v>85.04596107430798</v>
      </c>
      <c r="P8" s="112">
        <v>37.1085147262786</v>
      </c>
      <c r="Q8" s="110">
        <v>62.8914852737214</v>
      </c>
      <c r="R8" s="112">
        <v>62.432332109456574</v>
      </c>
    </row>
    <row r="9" ht="22.5" customHeight="1">
      <c r="A9" s="104">
        <v>3.0</v>
      </c>
      <c r="B9" s="104">
        <v>2.0</v>
      </c>
      <c r="C9" s="42" t="s">
        <v>465</v>
      </c>
      <c r="D9" s="118" t="s">
        <v>473</v>
      </c>
      <c r="E9" s="119">
        <v>20.108</v>
      </c>
      <c r="F9" s="120">
        <v>19.847512339989756</v>
      </c>
      <c r="G9" s="104">
        <v>438.0</v>
      </c>
      <c r="H9" s="104">
        <v>19.966</v>
      </c>
      <c r="I9" s="104">
        <v>26.891</v>
      </c>
      <c r="J9" s="112">
        <v>6.924999999999997</v>
      </c>
      <c r="K9" s="104">
        <v>26.09</v>
      </c>
      <c r="L9" s="111">
        <v>6.123999999999999</v>
      </c>
      <c r="M9" s="108">
        <v>40.35770258150205</v>
      </c>
      <c r="N9" s="121"/>
      <c r="O9" s="121">
        <v>85.36598018363854</v>
      </c>
      <c r="P9" s="112">
        <v>36.14467050508682</v>
      </c>
      <c r="Q9" s="110">
        <v>63.85532949491318</v>
      </c>
      <c r="R9" s="113"/>
    </row>
    <row r="10" ht="22.5" customHeight="1">
      <c r="A10" s="104">
        <v>3.0</v>
      </c>
      <c r="B10" s="104">
        <v>3.0</v>
      </c>
      <c r="C10" s="42" t="s">
        <v>465</v>
      </c>
      <c r="D10" s="118" t="s">
        <v>474</v>
      </c>
      <c r="E10" s="119">
        <v>20.046</v>
      </c>
      <c r="F10" s="120">
        <v>19.778706652017576</v>
      </c>
      <c r="G10" s="104">
        <v>593.0</v>
      </c>
      <c r="H10" s="104">
        <v>19.829</v>
      </c>
      <c r="I10" s="104">
        <v>27.35</v>
      </c>
      <c r="J10" s="112">
        <v>7.521000000000001</v>
      </c>
      <c r="K10" s="104">
        <v>26.499</v>
      </c>
      <c r="L10" s="111">
        <v>6.669999999999998</v>
      </c>
      <c r="M10" s="108">
        <v>43.02606914457646</v>
      </c>
      <c r="N10" s="121"/>
      <c r="O10" s="121">
        <v>85.48362605658752</v>
      </c>
      <c r="P10" s="112">
        <v>39.44981844026487</v>
      </c>
      <c r="Q10" s="110">
        <v>60.55018155973513</v>
      </c>
      <c r="R10" s="113"/>
    </row>
    <row r="11" ht="22.5" customHeight="1">
      <c r="A11" s="104">
        <v>4.0</v>
      </c>
      <c r="B11" s="104">
        <v>1.0</v>
      </c>
      <c r="C11" s="42" t="s">
        <v>465</v>
      </c>
      <c r="D11" s="118" t="s">
        <v>475</v>
      </c>
      <c r="E11" s="119">
        <v>20.06</v>
      </c>
      <c r="F11" s="120">
        <v>19.901035073130164</v>
      </c>
      <c r="G11" s="104">
        <v>405.0</v>
      </c>
      <c r="H11" s="104">
        <v>19.563</v>
      </c>
      <c r="I11" s="104">
        <v>28.419</v>
      </c>
      <c r="J11" s="112">
        <v>8.856000000000002</v>
      </c>
      <c r="K11" s="104">
        <v>27.824</v>
      </c>
      <c r="L11" s="111">
        <v>8.261000000000003</v>
      </c>
      <c r="M11" s="108">
        <v>29.897942384079897</v>
      </c>
      <c r="N11" s="109">
        <v>28.2663259593693</v>
      </c>
      <c r="O11" s="121">
        <v>91.8445836004142</v>
      </c>
      <c r="P11" s="112">
        <v>45.196354620039614</v>
      </c>
      <c r="Q11" s="110">
        <v>54.803645379960386</v>
      </c>
      <c r="R11" s="112">
        <v>53.29439429344213</v>
      </c>
    </row>
    <row r="12" ht="22.5" customHeight="1">
      <c r="A12" s="104">
        <v>4.0</v>
      </c>
      <c r="B12" s="104">
        <v>2.0</v>
      </c>
      <c r="C12" s="42" t="s">
        <v>465</v>
      </c>
      <c r="D12" s="118" t="s">
        <v>476</v>
      </c>
      <c r="E12" s="119">
        <v>20.005</v>
      </c>
      <c r="F12" s="120">
        <v>19.862715502128722</v>
      </c>
      <c r="G12" s="104">
        <v>505.0</v>
      </c>
      <c r="H12" s="104">
        <v>19.677</v>
      </c>
      <c r="I12" s="104">
        <v>29.028</v>
      </c>
      <c r="J12" s="112">
        <v>9.350999999999999</v>
      </c>
      <c r="K12" s="104">
        <v>28.472</v>
      </c>
      <c r="L12" s="111">
        <v>8.795000000000002</v>
      </c>
      <c r="M12" s="108">
        <v>27.992144374237746</v>
      </c>
      <c r="N12" s="121"/>
      <c r="O12" s="121">
        <v>92.72057710740047</v>
      </c>
      <c r="P12" s="112">
        <v>47.7552469880354</v>
      </c>
      <c r="Q12" s="110">
        <v>52.2447530119646</v>
      </c>
      <c r="R12" s="113"/>
    </row>
    <row r="13" ht="22.5" customHeight="1">
      <c r="A13" s="104">
        <v>4.0</v>
      </c>
      <c r="B13" s="104">
        <v>3.0</v>
      </c>
      <c r="C13" s="42" t="s">
        <v>465</v>
      </c>
      <c r="D13" s="118" t="s">
        <v>477</v>
      </c>
      <c r="E13" s="119">
        <v>20.015</v>
      </c>
      <c r="F13" s="120">
        <v>19.88190437199146</v>
      </c>
      <c r="G13" s="104">
        <v>497.0</v>
      </c>
      <c r="H13" s="104">
        <v>20.02</v>
      </c>
      <c r="I13" s="104">
        <v>29.254</v>
      </c>
      <c r="J13" s="112">
        <v>9.234000000000002</v>
      </c>
      <c r="K13" s="104">
        <v>28.719</v>
      </c>
      <c r="L13" s="111">
        <v>8.699000000000002</v>
      </c>
      <c r="M13" s="108">
        <v>26.90889111979026</v>
      </c>
      <c r="N13" s="121"/>
      <c r="O13" s="121">
        <v>92.76614877354248</v>
      </c>
      <c r="P13" s="112">
        <v>47.16521551159859</v>
      </c>
      <c r="Q13" s="110">
        <v>52.83478448840141</v>
      </c>
      <c r="R13" s="113"/>
    </row>
    <row r="14" ht="22.5" customHeight="1">
      <c r="A14" s="104">
        <v>5.0</v>
      </c>
      <c r="B14" s="104">
        <v>1.0</v>
      </c>
      <c r="C14" s="42" t="s">
        <v>465</v>
      </c>
      <c r="D14" s="118" t="s">
        <v>478</v>
      </c>
      <c r="E14" s="119">
        <v>20.065</v>
      </c>
      <c r="F14" s="120">
        <v>19.852990984877856</v>
      </c>
      <c r="G14" s="104">
        <v>346.0</v>
      </c>
      <c r="H14" s="104">
        <v>18.839</v>
      </c>
      <c r="I14" s="104">
        <v>27.383</v>
      </c>
      <c r="J14" s="112">
        <v>8.544</v>
      </c>
      <c r="K14" s="104">
        <v>26.79</v>
      </c>
      <c r="L14" s="111">
        <v>7.9510000000000005</v>
      </c>
      <c r="M14" s="108">
        <v>29.86955469086203</v>
      </c>
      <c r="N14" s="109">
        <v>30.11207653902474</v>
      </c>
      <c r="O14" s="121">
        <v>90.19300480062704</v>
      </c>
      <c r="P14" s="112">
        <v>44.404087757586026</v>
      </c>
      <c r="Q14" s="110">
        <v>55.595912242413974</v>
      </c>
      <c r="R14" s="112">
        <v>50.82376514902731</v>
      </c>
    </row>
    <row r="15" ht="22.5" customHeight="1">
      <c r="A15" s="104">
        <v>5.0</v>
      </c>
      <c r="B15" s="104">
        <v>2.0</v>
      </c>
      <c r="C15" s="42" t="s">
        <v>465</v>
      </c>
      <c r="D15" s="118" t="s">
        <v>479</v>
      </c>
      <c r="E15" s="119">
        <v>20.128</v>
      </c>
      <c r="F15" s="120">
        <v>19.92787495053423</v>
      </c>
      <c r="G15" s="104">
        <v>519.0</v>
      </c>
      <c r="H15" s="104">
        <v>19.016</v>
      </c>
      <c r="I15" s="104">
        <v>28.381</v>
      </c>
      <c r="J15" s="112">
        <v>9.365000000000002</v>
      </c>
      <c r="K15" s="104">
        <v>27.805</v>
      </c>
      <c r="L15" s="111">
        <v>8.789000000000001</v>
      </c>
      <c r="M15" s="108">
        <v>28.904235972464242</v>
      </c>
      <c r="N15" s="121"/>
      <c r="O15" s="121">
        <v>90.58206345241071</v>
      </c>
      <c r="P15" s="112">
        <v>48.689606595011995</v>
      </c>
      <c r="Q15" s="110">
        <v>51.310393404988005</v>
      </c>
      <c r="R15" s="113"/>
    </row>
    <row r="16" ht="22.5" customHeight="1">
      <c r="A16" s="104">
        <v>5.0</v>
      </c>
      <c r="B16" s="104">
        <v>3.0</v>
      </c>
      <c r="C16" s="42" t="s">
        <v>465</v>
      </c>
      <c r="D16" s="118" t="s">
        <v>480</v>
      </c>
      <c r="E16" s="119">
        <v>20.012</v>
      </c>
      <c r="F16" s="120">
        <v>19.833701727466213</v>
      </c>
      <c r="G16" s="104">
        <v>482.0</v>
      </c>
      <c r="H16" s="104">
        <v>19.934</v>
      </c>
      <c r="I16" s="104">
        <v>30.339</v>
      </c>
      <c r="J16" s="112">
        <v>10.404999999999998</v>
      </c>
      <c r="K16" s="104">
        <v>29.713</v>
      </c>
      <c r="L16" s="111">
        <v>9.779</v>
      </c>
      <c r="M16" s="108">
        <v>31.562438953747954</v>
      </c>
      <c r="N16" s="121"/>
      <c r="O16" s="121">
        <v>90.57583778654546</v>
      </c>
      <c r="P16" s="112">
        <v>54.43501020032005</v>
      </c>
      <c r="Q16" s="110">
        <v>45.56498979967995</v>
      </c>
      <c r="R16" s="113"/>
    </row>
    <row r="17" ht="22.5" customHeight="1">
      <c r="A17" s="104">
        <v>6.0</v>
      </c>
      <c r="B17" s="104">
        <v>1.0</v>
      </c>
      <c r="C17" s="42" t="s">
        <v>465</v>
      </c>
      <c r="D17" s="118" t="s">
        <v>481</v>
      </c>
      <c r="E17" s="119">
        <v>20.25</v>
      </c>
      <c r="F17" s="120">
        <v>20.089341849209116</v>
      </c>
      <c r="G17" s="104">
        <v>169.0</v>
      </c>
      <c r="H17" s="104">
        <v>19.739</v>
      </c>
      <c r="I17" s="104">
        <v>31.966</v>
      </c>
      <c r="J17" s="112">
        <v>12.227</v>
      </c>
      <c r="K17" s="104">
        <v>31.15</v>
      </c>
      <c r="L17" s="111">
        <v>11.410999999999998</v>
      </c>
      <c r="M17" s="108">
        <v>40.61855316739145</v>
      </c>
      <c r="N17" s="109">
        <v>47.48304811355834</v>
      </c>
      <c r="O17" s="121">
        <v>90.94658485061866</v>
      </c>
      <c r="P17" s="112">
        <v>62.45563106888918</v>
      </c>
      <c r="Q17" s="110">
        <v>37.54436893111082</v>
      </c>
      <c r="R17" s="112">
        <v>31.482129138989695</v>
      </c>
    </row>
    <row r="18" ht="22.5" customHeight="1">
      <c r="A18" s="104">
        <v>6.0</v>
      </c>
      <c r="B18" s="104">
        <v>2.0</v>
      </c>
      <c r="C18" s="42" t="s">
        <v>465</v>
      </c>
      <c r="D18" s="118" t="s">
        <v>482</v>
      </c>
      <c r="E18" s="119">
        <v>20.221</v>
      </c>
      <c r="F18" s="120">
        <v>20.020732593839753</v>
      </c>
      <c r="G18" s="104">
        <v>951.0</v>
      </c>
      <c r="H18" s="104">
        <v>19.307</v>
      </c>
      <c r="I18" s="104">
        <v>36.918</v>
      </c>
      <c r="J18" s="112">
        <v>17.611</v>
      </c>
      <c r="K18" s="104">
        <v>35.839</v>
      </c>
      <c r="L18" s="111">
        <v>16.532</v>
      </c>
      <c r="M18" s="108">
        <v>53.89413174281154</v>
      </c>
      <c r="N18" s="121"/>
      <c r="O18" s="121">
        <v>90.57217165149545</v>
      </c>
      <c r="P18" s="112">
        <v>91.16972621782166</v>
      </c>
      <c r="Q18" s="110">
        <v>8.830273782178338</v>
      </c>
      <c r="R18" s="113"/>
    </row>
    <row r="19" ht="22.5" customHeight="1">
      <c r="A19" s="104">
        <v>6.0</v>
      </c>
      <c r="B19" s="104">
        <v>3.0</v>
      </c>
      <c r="C19" s="42" t="s">
        <v>465</v>
      </c>
      <c r="D19" s="118" t="s">
        <v>483</v>
      </c>
      <c r="E19" s="119">
        <v>20.089</v>
      </c>
      <c r="F19" s="120">
        <v>19.90134464110128</v>
      </c>
      <c r="G19" s="104">
        <v>536.0</v>
      </c>
      <c r="H19" s="104">
        <v>22.641</v>
      </c>
      <c r="I19" s="104">
        <v>33.096</v>
      </c>
      <c r="J19" s="112">
        <v>10.454999999999998</v>
      </c>
      <c r="K19" s="104">
        <v>32.142</v>
      </c>
      <c r="L19" s="111">
        <v>9.501000000000005</v>
      </c>
      <c r="M19" s="108">
        <v>47.936459430472034</v>
      </c>
      <c r="N19" s="121"/>
      <c r="O19" s="121">
        <v>91.93548387096774</v>
      </c>
      <c r="P19" s="112">
        <v>51.92825529632007</v>
      </c>
      <c r="Q19" s="110">
        <v>48.07174470367993</v>
      </c>
      <c r="R19" s="113"/>
    </row>
    <row r="20" ht="22.5" customHeight="1">
      <c r="A20" s="104">
        <v>7.0</v>
      </c>
      <c r="B20" s="104">
        <v>1.0</v>
      </c>
      <c r="C20" s="42" t="s">
        <v>484</v>
      </c>
      <c r="D20" s="118" t="s">
        <v>485</v>
      </c>
      <c r="E20" s="119">
        <v>20.017</v>
      </c>
      <c r="F20" s="120">
        <v>19.826249533352982</v>
      </c>
      <c r="G20" s="104">
        <v>435.0</v>
      </c>
      <c r="H20" s="104">
        <v>19.404</v>
      </c>
      <c r="I20" s="104">
        <v>33.536</v>
      </c>
      <c r="J20" s="112">
        <v>14.132000000000001</v>
      </c>
      <c r="K20" s="104">
        <v>32.618</v>
      </c>
      <c r="L20" s="111">
        <v>13.214000000000002</v>
      </c>
      <c r="M20" s="108">
        <v>46.30225189366658</v>
      </c>
      <c r="N20" s="109">
        <v>46.171971439701935</v>
      </c>
      <c r="O20" s="121">
        <v>91.46994643919858</v>
      </c>
      <c r="P20" s="112">
        <v>72.86438602659439</v>
      </c>
      <c r="Q20" s="110">
        <v>27.13561397340561</v>
      </c>
      <c r="R20" s="112">
        <v>28.11217325635022</v>
      </c>
    </row>
    <row r="21" ht="22.5" customHeight="1">
      <c r="A21" s="104">
        <v>7.0</v>
      </c>
      <c r="B21" s="104">
        <v>2.0</v>
      </c>
      <c r="C21" s="42" t="s">
        <v>484</v>
      </c>
      <c r="D21" s="118" t="s">
        <v>486</v>
      </c>
      <c r="E21" s="119">
        <v>20.0</v>
      </c>
      <c r="F21" s="120">
        <v>19.820703318474493</v>
      </c>
      <c r="G21" s="104">
        <v>738.0</v>
      </c>
      <c r="H21" s="104">
        <v>22.504</v>
      </c>
      <c r="I21" s="104">
        <v>37.151</v>
      </c>
      <c r="J21" s="112">
        <v>14.647000000000002</v>
      </c>
      <c r="K21" s="104">
        <v>36.142</v>
      </c>
      <c r="L21" s="111">
        <v>13.638000000000002</v>
      </c>
      <c r="M21" s="108">
        <v>50.90636713478936</v>
      </c>
      <c r="N21" s="121"/>
      <c r="O21" s="121">
        <v>91.74871307911442</v>
      </c>
      <c r="P21" s="112">
        <v>74.99488506373243</v>
      </c>
      <c r="Q21" s="110">
        <v>25.005114936267574</v>
      </c>
      <c r="R21" s="113"/>
    </row>
    <row r="22" ht="22.5" customHeight="1">
      <c r="A22" s="104">
        <v>7.0</v>
      </c>
      <c r="B22" s="104">
        <v>3.0</v>
      </c>
      <c r="C22" s="42" t="s">
        <v>484</v>
      </c>
      <c r="D22" s="118" t="s">
        <v>487</v>
      </c>
      <c r="E22" s="119">
        <v>20.316</v>
      </c>
      <c r="F22" s="120">
        <v>20.141720588235295</v>
      </c>
      <c r="G22" s="104">
        <v>553.0</v>
      </c>
      <c r="H22" s="104">
        <v>19.107</v>
      </c>
      <c r="I22" s="104">
        <v>32.55</v>
      </c>
      <c r="J22" s="112">
        <v>13.442999999999998</v>
      </c>
      <c r="K22" s="104">
        <v>31.718</v>
      </c>
      <c r="L22" s="111">
        <v>12.611</v>
      </c>
      <c r="M22" s="108">
        <v>41.30729529064987</v>
      </c>
      <c r="N22" s="121"/>
      <c r="O22" s="121">
        <v>92.34136794396373</v>
      </c>
      <c r="P22" s="112">
        <v>67.80420914062252</v>
      </c>
      <c r="Q22" s="110">
        <v>32.19579085937748</v>
      </c>
      <c r="R22" s="113"/>
    </row>
    <row r="23" ht="22.5" customHeight="1">
      <c r="A23" s="123">
        <v>8.0</v>
      </c>
      <c r="B23" s="123">
        <v>1.0</v>
      </c>
      <c r="C23" s="124" t="s">
        <v>484</v>
      </c>
      <c r="D23" s="125" t="s">
        <v>488</v>
      </c>
      <c r="E23" s="126">
        <v>20.343</v>
      </c>
      <c r="F23" s="127">
        <v>20.166860354110003</v>
      </c>
      <c r="G23" s="123">
        <v>437.0</v>
      </c>
      <c r="H23" s="123">
        <v>19.29</v>
      </c>
      <c r="I23" s="123">
        <v>42.138</v>
      </c>
      <c r="J23" s="128">
        <v>22.848</v>
      </c>
      <c r="K23" s="123">
        <v>40.685</v>
      </c>
      <c r="L23" s="128">
        <v>21.395000000000003</v>
      </c>
      <c r="M23" s="129">
        <v>72.04889479506286</v>
      </c>
      <c r="N23" s="130">
        <v>61.034566604110005</v>
      </c>
      <c r="O23" s="129">
        <v>91.55702368288452</v>
      </c>
      <c r="P23" s="128">
        <v>115.87302197088178</v>
      </c>
      <c r="Q23" s="131" t="s">
        <v>489</v>
      </c>
      <c r="R23" s="128">
        <f>AVERAGE(Q24:Q25)</f>
        <v>14.84943681</v>
      </c>
      <c r="S23" s="132"/>
      <c r="T23" s="132"/>
      <c r="U23" s="132"/>
      <c r="V23" s="132"/>
      <c r="W23" s="132"/>
      <c r="X23" s="132"/>
      <c r="Y23" s="132"/>
      <c r="Z23" s="132"/>
    </row>
    <row r="24" ht="22.5" customHeight="1">
      <c r="A24" s="104">
        <v>8.0</v>
      </c>
      <c r="B24" s="104">
        <v>2.0</v>
      </c>
      <c r="C24" s="42" t="s">
        <v>484</v>
      </c>
      <c r="D24" s="118" t="s">
        <v>490</v>
      </c>
      <c r="E24" s="119">
        <v>20.459</v>
      </c>
      <c r="F24" s="120">
        <v>20.299640542359842</v>
      </c>
      <c r="G24" s="104">
        <v>719.0</v>
      </c>
      <c r="H24" s="104">
        <v>22.68</v>
      </c>
      <c r="I24" s="104">
        <v>39.523</v>
      </c>
      <c r="J24" s="112">
        <v>16.843000000000004</v>
      </c>
      <c r="K24" s="104">
        <v>38.48</v>
      </c>
      <c r="L24" s="111">
        <v>15.799999999999997</v>
      </c>
      <c r="M24" s="108">
        <v>51.380220148408455</v>
      </c>
      <c r="N24" s="121"/>
      <c r="O24" s="121">
        <v>91.42760224849778</v>
      </c>
      <c r="P24" s="112">
        <v>85.13172021033897</v>
      </c>
      <c r="Q24" s="110">
        <v>14.868279789661031</v>
      </c>
      <c r="R24" s="113"/>
    </row>
    <row r="25" ht="22.5" customHeight="1">
      <c r="A25" s="104">
        <v>8.0</v>
      </c>
      <c r="B25" s="104">
        <v>3.0</v>
      </c>
      <c r="C25" s="42" t="s">
        <v>484</v>
      </c>
      <c r="D25" s="118" t="s">
        <v>491</v>
      </c>
      <c r="E25" s="119">
        <v>20.714</v>
      </c>
      <c r="F25" s="120">
        <v>20.544759593958897</v>
      </c>
      <c r="G25" s="104">
        <v>396.0</v>
      </c>
      <c r="H25" s="104">
        <v>19.162</v>
      </c>
      <c r="I25" s="104">
        <v>36.33</v>
      </c>
      <c r="J25" s="112">
        <v>17.168</v>
      </c>
      <c r="K25" s="104">
        <v>35.104</v>
      </c>
      <c r="L25" s="111">
        <v>15.942</v>
      </c>
      <c r="M25" s="108">
        <v>59.674584868858695</v>
      </c>
      <c r="N25" s="121"/>
      <c r="O25" s="121">
        <v>91.10833749375936</v>
      </c>
      <c r="P25" s="112">
        <v>85.16940616981806</v>
      </c>
      <c r="Q25" s="110">
        <v>14.83059383018194</v>
      </c>
      <c r="R25" s="113"/>
    </row>
    <row r="26" ht="22.5" customHeight="1">
      <c r="A26" s="104">
        <v>9.0</v>
      </c>
      <c r="B26" s="104">
        <v>1.0</v>
      </c>
      <c r="C26" s="42" t="s">
        <v>484</v>
      </c>
      <c r="D26" s="118" t="s">
        <v>492</v>
      </c>
      <c r="E26" s="119">
        <v>20.022</v>
      </c>
      <c r="F26" s="120">
        <v>19.84768033638387</v>
      </c>
      <c r="G26" s="104">
        <v>408.0</v>
      </c>
      <c r="H26" s="104">
        <v>18.462</v>
      </c>
      <c r="I26" s="104">
        <v>34.18</v>
      </c>
      <c r="J26" s="112">
        <v>15.718</v>
      </c>
      <c r="K26" s="104">
        <v>33.153</v>
      </c>
      <c r="L26" s="111">
        <v>14.690999999999999</v>
      </c>
      <c r="M26" s="108">
        <v>51.744082058665114</v>
      </c>
      <c r="N26" s="109">
        <v>69.17648429229668</v>
      </c>
      <c r="O26" s="121">
        <v>91.34188332751135</v>
      </c>
      <c r="P26" s="112">
        <v>81.03481411924157</v>
      </c>
      <c r="Q26" s="110">
        <v>18.965185880758426</v>
      </c>
      <c r="R26" s="112">
        <v>17.377431297221122</v>
      </c>
    </row>
    <row r="27" ht="22.5" customHeight="1">
      <c r="A27" s="104">
        <v>9.0</v>
      </c>
      <c r="B27" s="104">
        <v>2.0</v>
      </c>
      <c r="C27" s="42" t="s">
        <v>484</v>
      </c>
      <c r="D27" s="118" t="s">
        <v>493</v>
      </c>
      <c r="E27" s="119">
        <v>20.001</v>
      </c>
      <c r="F27" s="120">
        <v>19.814233446519527</v>
      </c>
      <c r="G27" s="104">
        <v>395.0</v>
      </c>
      <c r="H27" s="104">
        <v>20.365</v>
      </c>
      <c r="I27" s="104">
        <v>36.278</v>
      </c>
      <c r="J27" s="112">
        <v>15.913</v>
      </c>
      <c r="K27" s="104">
        <v>34.951</v>
      </c>
      <c r="L27" s="111">
        <v>14.586000000000002</v>
      </c>
      <c r="M27" s="108">
        <v>66.97205842364255</v>
      </c>
      <c r="N27" s="121"/>
      <c r="O27" s="121">
        <v>89.51560058470686</v>
      </c>
      <c r="P27" s="112">
        <v>82.23566410507676</v>
      </c>
      <c r="Q27" s="110">
        <v>17.764335894923235</v>
      </c>
      <c r="R27" s="113"/>
    </row>
    <row r="28" ht="22.5" customHeight="1">
      <c r="A28" s="104">
        <v>9.0</v>
      </c>
      <c r="B28" s="104">
        <v>3.0</v>
      </c>
      <c r="C28" s="42" t="s">
        <v>484</v>
      </c>
      <c r="D28" s="118" t="s">
        <v>494</v>
      </c>
      <c r="E28" s="119">
        <v>20.188</v>
      </c>
      <c r="F28" s="120">
        <v>19.963223442481905</v>
      </c>
      <c r="G28" s="104">
        <v>794.0</v>
      </c>
      <c r="H28" s="104">
        <v>18.443</v>
      </c>
      <c r="I28" s="104">
        <v>34.851</v>
      </c>
      <c r="J28" s="112">
        <v>16.407999999999998</v>
      </c>
      <c r="K28" s="104">
        <v>33.078</v>
      </c>
      <c r="L28" s="111">
        <v>14.635000000000002</v>
      </c>
      <c r="M28" s="108">
        <v>88.8133123945824</v>
      </c>
      <c r="N28" s="121"/>
      <c r="O28" s="121">
        <v>86.65745432212498</v>
      </c>
      <c r="P28" s="112">
        <v>84.5972278840183</v>
      </c>
      <c r="Q28" s="110">
        <v>15.402772115981705</v>
      </c>
      <c r="R28" s="113"/>
    </row>
    <row r="29" ht="22.5" customHeight="1">
      <c r="A29" s="104">
        <v>10.0</v>
      </c>
      <c r="B29" s="104">
        <v>1.0</v>
      </c>
      <c r="C29" s="42" t="s">
        <v>484</v>
      </c>
      <c r="D29" s="118" t="s">
        <v>495</v>
      </c>
      <c r="E29" s="119">
        <v>20.05</v>
      </c>
      <c r="F29" s="120">
        <v>19.747253265782547</v>
      </c>
      <c r="G29" s="104">
        <v>699.0</v>
      </c>
      <c r="H29" s="104">
        <v>23.061</v>
      </c>
      <c r="I29" s="104">
        <v>31.667</v>
      </c>
      <c r="J29" s="112">
        <v>8.606000000000002</v>
      </c>
      <c r="K29" s="104">
        <v>30.426</v>
      </c>
      <c r="L29" s="111">
        <v>7.364999999999998</v>
      </c>
      <c r="M29" s="108">
        <v>62.84418310218218</v>
      </c>
      <c r="N29" s="109">
        <v>55.39635279512533</v>
      </c>
      <c r="O29" s="121">
        <v>84.75465227696806</v>
      </c>
      <c r="P29" s="112">
        <v>44.005048962741306</v>
      </c>
      <c r="Q29" s="110">
        <v>55.994951037258694</v>
      </c>
      <c r="R29" s="112">
        <v>64.22608311275461</v>
      </c>
    </row>
    <row r="30" ht="22.5" customHeight="1">
      <c r="A30" s="104">
        <v>10.0</v>
      </c>
      <c r="B30" s="104">
        <v>2.0</v>
      </c>
      <c r="C30" s="42" t="s">
        <v>484</v>
      </c>
      <c r="D30" s="118" t="s">
        <v>496</v>
      </c>
      <c r="E30" s="119">
        <v>20.085</v>
      </c>
      <c r="F30" s="120">
        <v>19.774913034981434</v>
      </c>
      <c r="G30" s="104">
        <v>370.0</v>
      </c>
      <c r="H30" s="104">
        <v>19.655</v>
      </c>
      <c r="I30" s="104">
        <v>26.646</v>
      </c>
      <c r="J30" s="112">
        <v>6.991</v>
      </c>
      <c r="K30" s="104">
        <v>25.549</v>
      </c>
      <c r="L30" s="111">
        <v>5.893999999999998</v>
      </c>
      <c r="M30" s="108">
        <v>55.474327399540506</v>
      </c>
      <c r="N30" s="121"/>
      <c r="O30" s="121">
        <v>84.85013894402542</v>
      </c>
      <c r="P30" s="112">
        <v>35.127156162134064</v>
      </c>
      <c r="Q30" s="110">
        <v>64.87284383786593</v>
      </c>
      <c r="R30" s="113"/>
    </row>
    <row r="31" ht="22.5" customHeight="1">
      <c r="A31" s="104">
        <v>10.0</v>
      </c>
      <c r="B31" s="104">
        <v>3.0</v>
      </c>
      <c r="C31" s="42" t="s">
        <v>484</v>
      </c>
      <c r="D31" s="118" t="s">
        <v>497</v>
      </c>
      <c r="E31" s="119">
        <v>20.08</v>
      </c>
      <c r="F31" s="120">
        <v>19.78251851851852</v>
      </c>
      <c r="G31" s="104">
        <v>418.0</v>
      </c>
      <c r="H31" s="104">
        <v>18.76</v>
      </c>
      <c r="I31" s="104">
        <v>24.474</v>
      </c>
      <c r="J31" s="112">
        <v>5.713999999999999</v>
      </c>
      <c r="K31" s="104">
        <v>23.527</v>
      </c>
      <c r="L31" s="111">
        <v>4.7669999999999995</v>
      </c>
      <c r="M31" s="108">
        <v>47.870547883653316</v>
      </c>
      <c r="N31" s="121"/>
      <c r="O31" s="121">
        <v>85.48216178028964</v>
      </c>
      <c r="P31" s="112">
        <v>28.18954553686082</v>
      </c>
      <c r="Q31" s="110">
        <v>71.81045446313918</v>
      </c>
      <c r="R31" s="113"/>
    </row>
    <row r="32" ht="22.5" customHeight="1">
      <c r="A32" s="104">
        <v>11.0</v>
      </c>
      <c r="B32" s="104">
        <v>1.0</v>
      </c>
      <c r="C32" s="42" t="s">
        <v>484</v>
      </c>
      <c r="D32" s="118" t="s">
        <v>498</v>
      </c>
      <c r="E32" s="119">
        <v>20.048</v>
      </c>
      <c r="F32" s="120">
        <v>19.840847292598113</v>
      </c>
      <c r="G32" s="104">
        <v>777.0</v>
      </c>
      <c r="H32" s="104">
        <v>18.785</v>
      </c>
      <c r="I32" s="104">
        <v>24.715</v>
      </c>
      <c r="J32" s="112">
        <v>5.93</v>
      </c>
      <c r="K32" s="104">
        <v>24.29</v>
      </c>
      <c r="L32" s="111">
        <v>5.504999999999999</v>
      </c>
      <c r="M32" s="108">
        <v>21.42045617973949</v>
      </c>
      <c r="N32" s="109">
        <v>20.805896907122147</v>
      </c>
      <c r="O32" s="121">
        <v>91.84318843489609</v>
      </c>
      <c r="P32" s="112">
        <v>30.209960433376022</v>
      </c>
      <c r="Q32" s="110">
        <v>69.79003956662397</v>
      </c>
      <c r="R32" s="112">
        <v>68.16597674465861</v>
      </c>
    </row>
    <row r="33" ht="22.5" customHeight="1">
      <c r="A33" s="104">
        <v>11.0</v>
      </c>
      <c r="B33" s="104">
        <v>2.0</v>
      </c>
      <c r="C33" s="42" t="s">
        <v>484</v>
      </c>
      <c r="D33" s="118" t="s">
        <v>499</v>
      </c>
      <c r="E33" s="119">
        <v>20.058</v>
      </c>
      <c r="F33" s="120">
        <v>19.841028813059296</v>
      </c>
      <c r="G33" s="104">
        <v>714.0</v>
      </c>
      <c r="H33" s="104">
        <v>22.923</v>
      </c>
      <c r="I33" s="104">
        <v>28.808</v>
      </c>
      <c r="J33" s="112">
        <v>5.885000000000002</v>
      </c>
      <c r="K33" s="104">
        <v>28.392</v>
      </c>
      <c r="L33" s="111">
        <v>5.469000000000001</v>
      </c>
      <c r="M33" s="108">
        <v>20.966654699185288</v>
      </c>
      <c r="N33" s="121"/>
      <c r="O33" s="121">
        <v>84.81459389601352</v>
      </c>
      <c r="P33" s="112">
        <v>32.49923577716751</v>
      </c>
      <c r="Q33" s="110">
        <v>67.50076422283249</v>
      </c>
      <c r="R33" s="113"/>
    </row>
    <row r="34" ht="22.5" customHeight="1">
      <c r="A34" s="104">
        <v>11.0</v>
      </c>
      <c r="B34" s="104">
        <v>3.0</v>
      </c>
      <c r="C34" s="42" t="s">
        <v>484</v>
      </c>
      <c r="D34" s="118" t="s">
        <v>500</v>
      </c>
      <c r="E34" s="119">
        <v>20.088</v>
      </c>
      <c r="F34" s="120">
        <v>19.869619508302996</v>
      </c>
      <c r="G34" s="104">
        <v>440.0</v>
      </c>
      <c r="H34" s="104">
        <v>19.101</v>
      </c>
      <c r="I34" s="104">
        <v>25.504</v>
      </c>
      <c r="J34" s="112">
        <v>6.403000000000002</v>
      </c>
      <c r="K34" s="104">
        <v>25.106</v>
      </c>
      <c r="L34" s="111">
        <v>6.005000000000003</v>
      </c>
      <c r="M34" s="108">
        <v>20.030579842441664</v>
      </c>
      <c r="N34" s="121"/>
      <c r="O34" s="121">
        <v>92.16032266196117</v>
      </c>
      <c r="P34" s="112">
        <v>32.79287355548063</v>
      </c>
      <c r="Q34" s="110">
        <v>67.20712644451936</v>
      </c>
      <c r="R34" s="113"/>
    </row>
    <row r="35" ht="22.5" customHeight="1">
      <c r="A35" s="104">
        <v>12.0</v>
      </c>
      <c r="B35" s="104">
        <v>1.0</v>
      </c>
      <c r="C35" s="42" t="s">
        <v>484</v>
      </c>
      <c r="D35" s="118" t="s">
        <v>501</v>
      </c>
      <c r="E35" s="119">
        <v>20.07</v>
      </c>
      <c r="F35" s="120">
        <v>19.91160213091304</v>
      </c>
      <c r="G35" s="104">
        <v>535.0</v>
      </c>
      <c r="H35" s="104">
        <v>19.486</v>
      </c>
      <c r="I35" s="104">
        <v>30.234</v>
      </c>
      <c r="J35" s="112">
        <v>10.748000000000001</v>
      </c>
      <c r="K35" s="104">
        <v>29.449</v>
      </c>
      <c r="L35" s="111">
        <v>9.963000000000001</v>
      </c>
      <c r="M35" s="108">
        <v>39.42425098888837</v>
      </c>
      <c r="N35" s="109">
        <v>37.32824404840192</v>
      </c>
      <c r="O35" s="121">
        <v>91.54278327449907</v>
      </c>
      <c r="P35" s="112">
        <v>54.6587646582605</v>
      </c>
      <c r="Q35" s="110">
        <v>45.3412353417395</v>
      </c>
      <c r="R35" s="112">
        <v>47.008872181758875</v>
      </c>
    </row>
    <row r="36" ht="22.5" customHeight="1">
      <c r="A36" s="104">
        <v>12.0</v>
      </c>
      <c r="B36" s="104">
        <v>2.0</v>
      </c>
      <c r="C36" s="42" t="s">
        <v>484</v>
      </c>
      <c r="D36" s="118" t="s">
        <v>502</v>
      </c>
      <c r="E36" s="119">
        <v>20.088</v>
      </c>
      <c r="F36" s="120">
        <v>19.929849975550123</v>
      </c>
      <c r="G36" s="104">
        <v>799.0</v>
      </c>
      <c r="H36" s="104">
        <v>22.232</v>
      </c>
      <c r="I36" s="104">
        <v>32.462</v>
      </c>
      <c r="J36" s="112">
        <v>10.230000000000004</v>
      </c>
      <c r="K36" s="104">
        <v>31.767</v>
      </c>
      <c r="L36" s="111">
        <v>9.535</v>
      </c>
      <c r="M36" s="108">
        <v>34.872314686393906</v>
      </c>
      <c r="N36" s="121"/>
      <c r="O36" s="121">
        <v>91.8724431958204</v>
      </c>
      <c r="P36" s="112">
        <v>52.07525460933267</v>
      </c>
      <c r="Q36" s="110">
        <v>47.92474539066733</v>
      </c>
      <c r="R36" s="113"/>
    </row>
    <row r="37" ht="22.5" customHeight="1">
      <c r="A37" s="104">
        <v>12.0</v>
      </c>
      <c r="B37" s="104">
        <v>3.0</v>
      </c>
      <c r="C37" s="42" t="s">
        <v>484</v>
      </c>
      <c r="D37" s="118" t="s">
        <v>503</v>
      </c>
      <c r="E37" s="119">
        <v>20.524</v>
      </c>
      <c r="F37" s="120">
        <v>20.29814850798057</v>
      </c>
      <c r="G37" s="104">
        <v>399.0</v>
      </c>
      <c r="H37" s="104">
        <v>17.991</v>
      </c>
      <c r="I37" s="104">
        <v>28.479</v>
      </c>
      <c r="J37" s="112">
        <v>10.488</v>
      </c>
      <c r="K37" s="104">
        <v>27.714</v>
      </c>
      <c r="L37" s="111">
        <v>9.722999999999999</v>
      </c>
      <c r="M37" s="108">
        <v>37.68816646992348</v>
      </c>
      <c r="N37" s="121"/>
      <c r="O37" s="121">
        <v>91.69506816359264</v>
      </c>
      <c r="P37" s="112">
        <v>52.23936418713019</v>
      </c>
      <c r="Q37" s="110">
        <v>47.76063581286981</v>
      </c>
      <c r="R37" s="113"/>
    </row>
    <row r="38" ht="22.5" customHeight="1">
      <c r="A38" s="104">
        <v>13.0</v>
      </c>
      <c r="B38" s="104">
        <v>1.0</v>
      </c>
      <c r="C38" s="122" t="s">
        <v>504</v>
      </c>
      <c r="D38" s="118" t="s">
        <v>505</v>
      </c>
      <c r="E38" s="119">
        <v>20.285</v>
      </c>
      <c r="F38" s="120">
        <v>19.98077018264614</v>
      </c>
      <c r="G38" s="104">
        <v>589.0</v>
      </c>
      <c r="H38" s="104">
        <v>19.625</v>
      </c>
      <c r="I38" s="104">
        <v>23.235</v>
      </c>
      <c r="J38" s="112">
        <v>3.6099999999999994</v>
      </c>
      <c r="K38" s="104">
        <v>22.7</v>
      </c>
      <c r="L38" s="111">
        <v>3.0749999999999993</v>
      </c>
      <c r="M38" s="108">
        <v>26.775744633941223</v>
      </c>
      <c r="N38" s="109">
        <v>28.64139458998466</v>
      </c>
      <c r="O38" s="121">
        <v>88.77889447236183</v>
      </c>
      <c r="P38" s="112">
        <v>17.334972732968506</v>
      </c>
      <c r="Q38" s="110">
        <v>82.66502726703149</v>
      </c>
      <c r="R38" s="112">
        <v>82.56023403322307</v>
      </c>
    </row>
    <row r="39" ht="22.5" customHeight="1">
      <c r="A39" s="104">
        <v>13.0</v>
      </c>
      <c r="B39" s="104">
        <v>2.0</v>
      </c>
      <c r="C39" s="122" t="s">
        <v>504</v>
      </c>
      <c r="D39" s="118" t="s">
        <v>506</v>
      </c>
      <c r="E39" s="119">
        <v>20.075</v>
      </c>
      <c r="F39" s="120">
        <v>19.804798105682945</v>
      </c>
      <c r="G39" s="104">
        <v>512.0</v>
      </c>
      <c r="H39" s="104">
        <v>18.685</v>
      </c>
      <c r="I39" s="104">
        <v>22.453</v>
      </c>
      <c r="J39" s="112">
        <v>3.7680000000000007</v>
      </c>
      <c r="K39" s="104">
        <v>21.826</v>
      </c>
      <c r="L39" s="111">
        <v>3.141000000000002</v>
      </c>
      <c r="M39" s="108">
        <v>31.658994787736948</v>
      </c>
      <c r="N39" s="121"/>
      <c r="O39" s="121">
        <v>87.54926730672057</v>
      </c>
      <c r="P39" s="112">
        <v>18.115277912146677</v>
      </c>
      <c r="Q39" s="110">
        <v>81.88472208785332</v>
      </c>
      <c r="R39" s="113"/>
    </row>
    <row r="40" ht="22.5" customHeight="1">
      <c r="A40" s="104">
        <v>13.0</v>
      </c>
      <c r="B40" s="104">
        <v>3.0</v>
      </c>
      <c r="C40" s="122" t="s">
        <v>504</v>
      </c>
      <c r="D40" s="118" t="s">
        <v>507</v>
      </c>
      <c r="E40" s="119">
        <v>20.105</v>
      </c>
      <c r="F40" s="120">
        <v>19.82579178739135</v>
      </c>
      <c r="G40" s="104">
        <v>592.0</v>
      </c>
      <c r="H40" s="104">
        <v>19.178</v>
      </c>
      <c r="I40" s="104">
        <v>22.683</v>
      </c>
      <c r="J40" s="112">
        <v>3.504999999999999</v>
      </c>
      <c r="K40" s="104">
        <v>22.138</v>
      </c>
      <c r="L40" s="111">
        <v>2.960000000000001</v>
      </c>
      <c r="M40" s="108">
        <v>27.489444348275814</v>
      </c>
      <c r="N40" s="121"/>
      <c r="O40" s="121">
        <v>88.50557244174263</v>
      </c>
      <c r="P40" s="112">
        <v>16.86904725521561</v>
      </c>
      <c r="Q40" s="110">
        <v>83.1309527447844</v>
      </c>
      <c r="R40" s="113"/>
    </row>
    <row r="41" ht="22.5" customHeight="1">
      <c r="A41" s="104">
        <v>14.0</v>
      </c>
      <c r="B41" s="104">
        <v>1.0</v>
      </c>
      <c r="C41" s="122" t="s">
        <v>504</v>
      </c>
      <c r="D41" s="118" t="s">
        <v>508</v>
      </c>
      <c r="E41" s="119">
        <v>20.263</v>
      </c>
      <c r="F41" s="120">
        <v>19.87593122194514</v>
      </c>
      <c r="G41" s="104">
        <v>595.0</v>
      </c>
      <c r="H41" s="104">
        <v>19.176</v>
      </c>
      <c r="I41" s="104">
        <v>23.893</v>
      </c>
      <c r="J41" s="112">
        <v>4.717000000000002</v>
      </c>
      <c r="K41" s="104">
        <v>22.769</v>
      </c>
      <c r="L41" s="111">
        <v>3.593</v>
      </c>
      <c r="M41" s="108">
        <v>56.5508094915818</v>
      </c>
      <c r="N41" s="109">
        <v>54.42681810122068</v>
      </c>
      <c r="O41" s="121">
        <v>83.00198301723698</v>
      </c>
      <c r="P41" s="112">
        <v>21.77916692963637</v>
      </c>
      <c r="Q41" s="110">
        <v>78.22083307036362</v>
      </c>
      <c r="R41" s="112">
        <v>79.35578467565801</v>
      </c>
    </row>
    <row r="42" ht="22.5" customHeight="1">
      <c r="A42" s="104">
        <v>14.0</v>
      </c>
      <c r="B42" s="104">
        <v>2.0</v>
      </c>
      <c r="C42" s="122" t="s">
        <v>504</v>
      </c>
      <c r="D42" s="118" t="s">
        <v>509</v>
      </c>
      <c r="E42" s="119">
        <v>20.25</v>
      </c>
      <c r="F42" s="120">
        <v>19.856668497528336</v>
      </c>
      <c r="G42" s="104">
        <v>433.0</v>
      </c>
      <c r="H42" s="104">
        <v>19.774</v>
      </c>
      <c r="I42" s="104">
        <v>24.036</v>
      </c>
      <c r="J42" s="112">
        <v>4.2620000000000005</v>
      </c>
      <c r="K42" s="104">
        <v>22.994</v>
      </c>
      <c r="L42" s="111">
        <v>3.219999999999999</v>
      </c>
      <c r="M42" s="108">
        <v>52.47607372453767</v>
      </c>
      <c r="N42" s="121"/>
      <c r="O42" s="121">
        <v>82.84957735003563</v>
      </c>
      <c r="P42" s="112">
        <v>19.57308080463171</v>
      </c>
      <c r="Q42" s="110">
        <v>80.42691919536828</v>
      </c>
      <c r="R42" s="113"/>
    </row>
    <row r="43" ht="22.5" customHeight="1">
      <c r="A43" s="104">
        <v>14.0</v>
      </c>
      <c r="B43" s="104">
        <v>3.0</v>
      </c>
      <c r="C43" s="122" t="s">
        <v>504</v>
      </c>
      <c r="D43" s="118" t="s">
        <v>510</v>
      </c>
      <c r="E43" s="119">
        <v>20.22</v>
      </c>
      <c r="F43" s="120">
        <v>19.85122782539366</v>
      </c>
      <c r="G43" s="104">
        <v>414.0</v>
      </c>
      <c r="H43" s="104">
        <v>19.014</v>
      </c>
      <c r="I43" s="104">
        <v>23.465</v>
      </c>
      <c r="J43" s="112">
        <v>4.4510000000000005</v>
      </c>
      <c r="K43" s="104">
        <v>22.388</v>
      </c>
      <c r="L43" s="111">
        <v>3.3740000000000023</v>
      </c>
      <c r="M43" s="108">
        <v>54.253571087542575</v>
      </c>
      <c r="N43" s="121"/>
      <c r="O43" s="121">
        <v>82.58552431225255</v>
      </c>
      <c r="P43" s="112">
        <v>20.580398238757862</v>
      </c>
      <c r="Q43" s="110">
        <v>79.41960176124213</v>
      </c>
      <c r="R43" s="113"/>
    </row>
    <row r="44" ht="22.5" customHeight="1">
      <c r="A44" s="104">
        <v>15.0</v>
      </c>
      <c r="B44" s="104">
        <v>1.0</v>
      </c>
      <c r="C44" s="122" t="s">
        <v>504</v>
      </c>
      <c r="D44" s="118" t="s">
        <v>511</v>
      </c>
      <c r="E44" s="119">
        <v>20.368</v>
      </c>
      <c r="F44" s="120">
        <v>19.98597333333333</v>
      </c>
      <c r="G44" s="104">
        <v>420.0</v>
      </c>
      <c r="H44" s="104">
        <v>18.047</v>
      </c>
      <c r="I44" s="104">
        <v>23.662</v>
      </c>
      <c r="J44" s="112">
        <v>5.614999999999998</v>
      </c>
      <c r="K44" s="104">
        <v>22.165</v>
      </c>
      <c r="L44" s="111">
        <v>4.1179999999999986</v>
      </c>
      <c r="M44" s="108">
        <v>74.90253164219172</v>
      </c>
      <c r="N44" s="109">
        <v>74.07036728076467</v>
      </c>
      <c r="O44" s="121">
        <v>80.8142777467931</v>
      </c>
      <c r="P44" s="112">
        <v>25.496052383924226</v>
      </c>
      <c r="Q44" s="110">
        <v>74.50394761607578</v>
      </c>
      <c r="R44" s="112">
        <v>76.30181356093084</v>
      </c>
    </row>
    <row r="45" ht="22.5" customHeight="1">
      <c r="A45" s="104">
        <v>15.0</v>
      </c>
      <c r="B45" s="104">
        <v>2.0</v>
      </c>
      <c r="C45" s="122" t="s">
        <v>504</v>
      </c>
      <c r="D45" s="118" t="s">
        <v>512</v>
      </c>
      <c r="E45" s="119">
        <v>20.023</v>
      </c>
      <c r="F45" s="120">
        <v>19.632649087728065</v>
      </c>
      <c r="G45" s="104">
        <v>495.0</v>
      </c>
      <c r="H45" s="104">
        <v>19.963</v>
      </c>
      <c r="I45" s="104">
        <v>24.524</v>
      </c>
      <c r="J45" s="112">
        <v>4.561</v>
      </c>
      <c r="K45" s="104">
        <v>23.074</v>
      </c>
      <c r="L45" s="111">
        <v>3.1110000000000007</v>
      </c>
      <c r="M45" s="108">
        <v>73.85656380454343</v>
      </c>
      <c r="N45" s="121"/>
      <c r="O45" s="121">
        <v>80.91766505225594</v>
      </c>
      <c r="P45" s="112">
        <v>19.58293419976302</v>
      </c>
      <c r="Q45" s="110">
        <v>80.41706580023698</v>
      </c>
      <c r="R45" s="113"/>
    </row>
    <row r="46" ht="22.5" customHeight="1">
      <c r="A46" s="104">
        <v>15.0</v>
      </c>
      <c r="B46" s="104">
        <v>3.0</v>
      </c>
      <c r="C46" s="122" t="s">
        <v>504</v>
      </c>
      <c r="D46" s="118" t="s">
        <v>513</v>
      </c>
      <c r="E46" s="119">
        <v>20.197</v>
      </c>
      <c r="F46" s="120">
        <v>19.79523870552724</v>
      </c>
      <c r="G46" s="104">
        <v>455.0</v>
      </c>
      <c r="H46" s="104">
        <v>19.174</v>
      </c>
      <c r="I46" s="104">
        <v>24.794</v>
      </c>
      <c r="J46" s="112">
        <v>5.620000000000001</v>
      </c>
      <c r="K46" s="104">
        <v>23.34</v>
      </c>
      <c r="L46" s="111">
        <v>4.166</v>
      </c>
      <c r="M46" s="108">
        <v>73.45200639555884</v>
      </c>
      <c r="N46" s="121"/>
      <c r="O46" s="121">
        <v>80.89564295451103</v>
      </c>
      <c r="P46" s="112">
        <v>26.01557273352022</v>
      </c>
      <c r="Q46" s="110">
        <v>73.98442726647978</v>
      </c>
      <c r="R46" s="113"/>
    </row>
    <row r="47" ht="22.5" customHeight="1">
      <c r="A47" s="104">
        <v>16.0</v>
      </c>
      <c r="B47" s="104">
        <v>1.0</v>
      </c>
      <c r="C47" s="122" t="s">
        <v>504</v>
      </c>
      <c r="D47" s="118" t="s">
        <v>514</v>
      </c>
      <c r="E47" s="119">
        <v>20.073</v>
      </c>
      <c r="F47" s="120">
        <v>19.742888060813833</v>
      </c>
      <c r="G47" s="104">
        <v>487.0</v>
      </c>
      <c r="H47" s="104">
        <v>19.02</v>
      </c>
      <c r="I47" s="104">
        <v>23.46</v>
      </c>
      <c r="J47" s="112">
        <v>4.440000000000001</v>
      </c>
      <c r="K47" s="104">
        <v>22.513</v>
      </c>
      <c r="L47" s="111">
        <v>3.493000000000002</v>
      </c>
      <c r="M47" s="108">
        <v>47.966639788614714</v>
      </c>
      <c r="N47" s="109">
        <v>48.33828437134613</v>
      </c>
      <c r="O47" s="121">
        <v>84.39078601737724</v>
      </c>
      <c r="P47" s="112">
        <v>20.96490363745895</v>
      </c>
      <c r="Q47" s="110">
        <v>79.03509636254105</v>
      </c>
      <c r="R47" s="112">
        <v>81.14671845697647</v>
      </c>
    </row>
    <row r="48" ht="22.5" customHeight="1">
      <c r="A48" s="104">
        <v>16.0</v>
      </c>
      <c r="B48" s="104">
        <v>2.0</v>
      </c>
      <c r="C48" s="122" t="s">
        <v>504</v>
      </c>
      <c r="D48" s="118" t="s">
        <v>515</v>
      </c>
      <c r="E48" s="119">
        <v>20.086</v>
      </c>
      <c r="F48" s="120">
        <v>19.724297700404044</v>
      </c>
      <c r="G48" s="104">
        <v>496.0</v>
      </c>
      <c r="H48" s="104">
        <v>19.366</v>
      </c>
      <c r="I48" s="104">
        <v>23.335</v>
      </c>
      <c r="J48" s="112">
        <v>3.969000000000001</v>
      </c>
      <c r="K48" s="104">
        <v>22.383</v>
      </c>
      <c r="L48" s="111">
        <v>3.0169999999999995</v>
      </c>
      <c r="M48" s="108">
        <v>48.26534330702687</v>
      </c>
      <c r="N48" s="121"/>
      <c r="O48" s="121">
        <v>83.93782383419689</v>
      </c>
      <c r="P48" s="112">
        <v>18.22283974359299</v>
      </c>
      <c r="Q48" s="110">
        <v>81.77716025640702</v>
      </c>
      <c r="R48" s="113"/>
    </row>
    <row r="49" ht="22.5" customHeight="1">
      <c r="A49" s="104">
        <v>16.0</v>
      </c>
      <c r="B49" s="104">
        <v>3.0</v>
      </c>
      <c r="C49" s="122" t="s">
        <v>504</v>
      </c>
      <c r="D49" s="118" t="s">
        <v>516</v>
      </c>
      <c r="E49" s="119">
        <v>20.14</v>
      </c>
      <c r="F49" s="120">
        <v>19.781533961328705</v>
      </c>
      <c r="G49" s="104">
        <v>500.0</v>
      </c>
      <c r="H49" s="104">
        <v>19.117</v>
      </c>
      <c r="I49" s="104">
        <v>22.962</v>
      </c>
      <c r="J49" s="112">
        <v>3.844999999999999</v>
      </c>
      <c r="K49" s="104">
        <v>21.997</v>
      </c>
      <c r="L49" s="111">
        <v>2.879999999999999</v>
      </c>
      <c r="M49" s="108">
        <v>48.782870018396785</v>
      </c>
      <c r="N49" s="121"/>
      <c r="O49" s="121">
        <v>83.80697592246733</v>
      </c>
      <c r="P49" s="112">
        <v>17.372101248018666</v>
      </c>
      <c r="Q49" s="110">
        <v>82.62789875198133</v>
      </c>
      <c r="R49" s="113"/>
    </row>
    <row r="50" ht="22.5" customHeight="1">
      <c r="A50" s="104">
        <v>17.0</v>
      </c>
      <c r="B50" s="104">
        <v>1.0</v>
      </c>
      <c r="C50" s="122" t="s">
        <v>504</v>
      </c>
      <c r="D50" s="118" t="s">
        <v>517</v>
      </c>
      <c r="E50" s="119">
        <v>20.192</v>
      </c>
      <c r="F50" s="120">
        <v>19.943236164927967</v>
      </c>
      <c r="G50" s="104">
        <v>392.0</v>
      </c>
      <c r="H50" s="104">
        <v>19.885</v>
      </c>
      <c r="I50" s="104">
        <v>23.342</v>
      </c>
      <c r="J50" s="112">
        <v>3.456999999999997</v>
      </c>
      <c r="K50" s="104">
        <v>22.312</v>
      </c>
      <c r="L50" s="111">
        <v>2.4269999999999996</v>
      </c>
      <c r="M50" s="108">
        <v>51.646582905704555</v>
      </c>
      <c r="N50" s="109">
        <v>56.279675966709085</v>
      </c>
      <c r="O50" s="121">
        <v>82.36092948395535</v>
      </c>
      <c r="P50" s="112">
        <v>14.775864676207641</v>
      </c>
      <c r="Q50" s="110">
        <v>85.22413532379235</v>
      </c>
      <c r="R50" s="112">
        <v>84.98638558300462</v>
      </c>
    </row>
    <row r="51" ht="22.5" customHeight="1">
      <c r="A51" s="104">
        <v>17.0</v>
      </c>
      <c r="B51" s="104">
        <v>2.0</v>
      </c>
      <c r="C51" s="122" t="s">
        <v>504</v>
      </c>
      <c r="D51" s="118" t="s">
        <v>518</v>
      </c>
      <c r="E51" s="119">
        <v>20.131</v>
      </c>
      <c r="F51" s="120">
        <v>19.869610667199357</v>
      </c>
      <c r="G51" s="104">
        <v>569.0</v>
      </c>
      <c r="H51" s="104">
        <v>19.394</v>
      </c>
      <c r="I51" s="104">
        <v>23.071</v>
      </c>
      <c r="J51" s="112">
        <v>3.677000000000003</v>
      </c>
      <c r="K51" s="104">
        <v>21.879</v>
      </c>
      <c r="L51" s="111">
        <v>2.485000000000003</v>
      </c>
      <c r="M51" s="108">
        <v>59.991110040608255</v>
      </c>
      <c r="N51" s="121"/>
      <c r="O51" s="121">
        <v>81.27909330095125</v>
      </c>
      <c r="P51" s="112">
        <v>15.387149924963618</v>
      </c>
      <c r="Q51" s="110">
        <v>84.61285007503638</v>
      </c>
      <c r="R51" s="113"/>
    </row>
    <row r="52" ht="22.5" customHeight="1">
      <c r="A52" s="104">
        <v>17.0</v>
      </c>
      <c r="B52" s="104">
        <v>3.0</v>
      </c>
      <c r="C52" s="122" t="s">
        <v>504</v>
      </c>
      <c r="D52" s="118" t="s">
        <v>519</v>
      </c>
      <c r="E52" s="119">
        <v>20.058</v>
      </c>
      <c r="F52" s="120">
        <v>19.842194258515544</v>
      </c>
      <c r="G52" s="104">
        <v>768.0</v>
      </c>
      <c r="H52" s="104">
        <v>23.55</v>
      </c>
      <c r="I52" s="104">
        <v>27.183</v>
      </c>
      <c r="J52" s="112">
        <v>3.632999999999999</v>
      </c>
      <c r="K52" s="104">
        <v>26.048</v>
      </c>
      <c r="L52" s="111">
        <v>2.4979999999999976</v>
      </c>
      <c r="M52" s="108">
        <v>57.20133495381445</v>
      </c>
      <c r="N52" s="121"/>
      <c r="O52" s="121">
        <v>84.61808340016037</v>
      </c>
      <c r="P52" s="112">
        <v>14.87782864981489</v>
      </c>
      <c r="Q52" s="110">
        <v>85.12217135018511</v>
      </c>
      <c r="R52" s="113"/>
    </row>
    <row r="53" ht="22.5" customHeight="1">
      <c r="A53" s="104">
        <v>18.0</v>
      </c>
      <c r="B53" s="104">
        <v>1.0</v>
      </c>
      <c r="C53" s="122" t="s">
        <v>504</v>
      </c>
      <c r="D53" s="118" t="s">
        <v>520</v>
      </c>
      <c r="E53" s="119">
        <v>20.2</v>
      </c>
      <c r="F53" s="120">
        <v>19.9187022710257</v>
      </c>
      <c r="G53" s="104">
        <v>367.0</v>
      </c>
      <c r="H53" s="104">
        <v>18.643</v>
      </c>
      <c r="I53" s="104">
        <v>22.441</v>
      </c>
      <c r="J53" s="112">
        <v>3.7979999999999983</v>
      </c>
      <c r="K53" s="104">
        <v>21.361</v>
      </c>
      <c r="L53" s="111">
        <v>2.718</v>
      </c>
      <c r="M53" s="108">
        <v>54.220399768261835</v>
      </c>
      <c r="N53" s="109">
        <v>54.48391757202156</v>
      </c>
      <c r="O53" s="121">
        <v>82.2838631301883</v>
      </c>
      <c r="P53" s="112">
        <v>16.58340621832853</v>
      </c>
      <c r="Q53" s="110">
        <v>83.41659378167147</v>
      </c>
      <c r="R53" s="112">
        <v>83.19931961958717</v>
      </c>
    </row>
    <row r="54" ht="22.5" customHeight="1">
      <c r="A54" s="104">
        <v>18.0</v>
      </c>
      <c r="B54" s="104">
        <v>2.0</v>
      </c>
      <c r="C54" s="122" t="s">
        <v>504</v>
      </c>
      <c r="D54" s="118" t="s">
        <v>521</v>
      </c>
      <c r="E54" s="119">
        <v>20.626</v>
      </c>
      <c r="F54" s="120">
        <v>20.370875411471317</v>
      </c>
      <c r="G54" s="104">
        <v>767.0</v>
      </c>
      <c r="H54" s="104">
        <v>22.666</v>
      </c>
      <c r="I54" s="104">
        <v>26.363</v>
      </c>
      <c r="J54" s="112">
        <v>3.696999999999999</v>
      </c>
      <c r="K54" s="104">
        <v>25.263</v>
      </c>
      <c r="L54" s="111">
        <v>2.5970000000000013</v>
      </c>
      <c r="M54" s="108">
        <v>53.998661215146505</v>
      </c>
      <c r="N54" s="121"/>
      <c r="O54" s="121">
        <v>81.60791839208163</v>
      </c>
      <c r="P54" s="112">
        <v>15.621759833066609</v>
      </c>
      <c r="Q54" s="110">
        <v>84.3782401669334</v>
      </c>
      <c r="R54" s="113"/>
    </row>
    <row r="55" ht="22.5" customHeight="1">
      <c r="A55" s="104">
        <v>18.0</v>
      </c>
      <c r="B55" s="104">
        <v>3.0</v>
      </c>
      <c r="C55" s="122" t="s">
        <v>504</v>
      </c>
      <c r="D55" s="118" t="s">
        <v>522</v>
      </c>
      <c r="E55" s="119">
        <v>20.13</v>
      </c>
      <c r="F55" s="120">
        <v>19.861425644613227</v>
      </c>
      <c r="G55" s="104">
        <v>386.0</v>
      </c>
      <c r="H55" s="104">
        <v>18.971</v>
      </c>
      <c r="I55" s="104">
        <v>23.06</v>
      </c>
      <c r="J55" s="112">
        <v>4.088999999999999</v>
      </c>
      <c r="K55" s="104">
        <v>21.963</v>
      </c>
      <c r="L55" s="111">
        <v>2.992000000000001</v>
      </c>
      <c r="M55" s="108">
        <v>55.23269173265635</v>
      </c>
      <c r="N55" s="121"/>
      <c r="O55" s="121">
        <v>82.78551532033426</v>
      </c>
      <c r="P55" s="112">
        <v>18.196875089843353</v>
      </c>
      <c r="Q55" s="110">
        <v>81.80312491015664</v>
      </c>
      <c r="R55" s="113"/>
    </row>
    <row r="56" ht="22.5" customHeight="1">
      <c r="A56" s="104">
        <v>19.0</v>
      </c>
      <c r="B56" s="104">
        <v>1.0</v>
      </c>
      <c r="C56" s="122" t="s">
        <v>523</v>
      </c>
      <c r="D56" s="118" t="s">
        <v>524</v>
      </c>
      <c r="E56" s="119">
        <v>20.04</v>
      </c>
      <c r="F56" s="120">
        <v>19.831719382401438</v>
      </c>
      <c r="G56" s="104">
        <v>760.0</v>
      </c>
      <c r="H56" s="104">
        <v>22.66</v>
      </c>
      <c r="I56" s="104">
        <v>26.088</v>
      </c>
      <c r="J56" s="112">
        <v>3.428000000000001</v>
      </c>
      <c r="K56" s="104">
        <v>25.296</v>
      </c>
      <c r="L56" s="111">
        <v>2.6359999999999992</v>
      </c>
      <c r="M56" s="108">
        <v>39.93602293015593</v>
      </c>
      <c r="N56" s="109">
        <v>41.68432629071064</v>
      </c>
      <c r="O56" s="121">
        <v>85.6955314314567</v>
      </c>
      <c r="P56" s="112">
        <v>15.510537962491227</v>
      </c>
      <c r="Q56" s="110">
        <v>84.48946203750877</v>
      </c>
      <c r="R56" s="112">
        <v>84.5063849363995</v>
      </c>
    </row>
    <row r="57" ht="22.5" customHeight="1">
      <c r="A57" s="104">
        <v>19.0</v>
      </c>
      <c r="B57" s="104">
        <v>2.0</v>
      </c>
      <c r="C57" s="122" t="s">
        <v>523</v>
      </c>
      <c r="D57" s="118" t="s">
        <v>525</v>
      </c>
      <c r="E57" s="119">
        <v>20.046</v>
      </c>
      <c r="F57" s="120">
        <v>19.895730134932528</v>
      </c>
      <c r="G57" s="104">
        <v>750.0</v>
      </c>
      <c r="H57" s="104">
        <v>17.808</v>
      </c>
      <c r="I57" s="104">
        <v>21.158</v>
      </c>
      <c r="J57" s="112">
        <v>3.3500000000000014</v>
      </c>
      <c r="K57" s="104">
        <v>20.381</v>
      </c>
      <c r="L57" s="111">
        <v>2.5730000000000004</v>
      </c>
      <c r="M57" s="108">
        <v>39.053605709888465</v>
      </c>
      <c r="N57" s="121"/>
      <c r="O57" s="121">
        <v>86.5055387713998</v>
      </c>
      <c r="P57" s="112">
        <v>14.949820883446543</v>
      </c>
      <c r="Q57" s="110">
        <v>85.05017911655345</v>
      </c>
      <c r="R57" s="113"/>
    </row>
    <row r="58" ht="22.5" customHeight="1">
      <c r="A58" s="104">
        <v>19.0</v>
      </c>
      <c r="B58" s="104">
        <v>3.0</v>
      </c>
      <c r="C58" s="122" t="s">
        <v>523</v>
      </c>
      <c r="D58" s="118" t="s">
        <v>526</v>
      </c>
      <c r="E58" s="119">
        <v>20.045</v>
      </c>
      <c r="F58" s="120">
        <v>19.820529670549416</v>
      </c>
      <c r="G58" s="104">
        <v>746.0</v>
      </c>
      <c r="H58" s="104">
        <v>22.416</v>
      </c>
      <c r="I58" s="104">
        <v>26.046</v>
      </c>
      <c r="J58" s="112">
        <v>3.629999999999999</v>
      </c>
      <c r="K58" s="104">
        <v>25.133</v>
      </c>
      <c r="L58" s="111">
        <v>2.7169999999999987</v>
      </c>
      <c r="M58" s="108">
        <v>46.06335023208753</v>
      </c>
      <c r="N58" s="121"/>
      <c r="O58" s="121">
        <v>85.56549876131251</v>
      </c>
      <c r="P58" s="112">
        <v>16.02048634486373</v>
      </c>
      <c r="Q58" s="110">
        <v>83.97951365513627</v>
      </c>
      <c r="R58" s="113"/>
    </row>
    <row r="59" ht="22.5" customHeight="1">
      <c r="A59" s="104">
        <v>20.0</v>
      </c>
      <c r="B59" s="104">
        <v>1.0</v>
      </c>
      <c r="C59" s="122" t="s">
        <v>523</v>
      </c>
      <c r="D59" s="118" t="s">
        <v>527</v>
      </c>
      <c r="E59" s="119">
        <v>20.268</v>
      </c>
      <c r="F59" s="120">
        <v>20.02021508796342</v>
      </c>
      <c r="G59" s="104">
        <v>785.0</v>
      </c>
      <c r="H59" s="104">
        <v>22.589</v>
      </c>
      <c r="I59" s="104">
        <v>27.335</v>
      </c>
      <c r="J59" s="112">
        <v>4.746000000000002</v>
      </c>
      <c r="K59" s="104">
        <v>26.384</v>
      </c>
      <c r="L59" s="111">
        <v>3.7950000000000017</v>
      </c>
      <c r="M59" s="108">
        <v>47.50198715755866</v>
      </c>
      <c r="N59" s="109">
        <v>40.64272129461275</v>
      </c>
      <c r="O59" s="121">
        <v>84.78063996780037</v>
      </c>
      <c r="P59" s="112">
        <v>22.35868980022339</v>
      </c>
      <c r="Q59" s="110">
        <v>77.64131019977661</v>
      </c>
      <c r="R59" s="112">
        <v>80.6462276001129</v>
      </c>
    </row>
    <row r="60" ht="22.5" customHeight="1">
      <c r="A60" s="104">
        <v>20.0</v>
      </c>
      <c r="B60" s="104">
        <v>2.0</v>
      </c>
      <c r="C60" s="122" t="s">
        <v>523</v>
      </c>
      <c r="D60" s="118" t="s">
        <v>528</v>
      </c>
      <c r="E60" s="119">
        <v>20.183</v>
      </c>
      <c r="F60" s="120">
        <v>19.95359055785433</v>
      </c>
      <c r="G60" s="104">
        <v>786.0</v>
      </c>
      <c r="H60" s="104">
        <v>22.691</v>
      </c>
      <c r="I60" s="104">
        <v>26.508</v>
      </c>
      <c r="J60" s="112">
        <v>3.817</v>
      </c>
      <c r="K60" s="104">
        <v>25.73</v>
      </c>
      <c r="L60" s="111">
        <v>3.0390000000000015</v>
      </c>
      <c r="M60" s="108">
        <v>38.99047631273333</v>
      </c>
      <c r="N60" s="121"/>
      <c r="O60" s="121">
        <v>86.1832484493974</v>
      </c>
      <c r="P60" s="112">
        <v>17.672043995614615</v>
      </c>
      <c r="Q60" s="110">
        <v>82.32795600438538</v>
      </c>
      <c r="R60" s="113"/>
    </row>
    <row r="61" ht="22.5" customHeight="1">
      <c r="A61" s="104">
        <v>20.0</v>
      </c>
      <c r="B61" s="104">
        <v>3.0</v>
      </c>
      <c r="C61" s="122" t="s">
        <v>523</v>
      </c>
      <c r="D61" s="118" t="s">
        <v>529</v>
      </c>
      <c r="E61" s="119">
        <v>20.19</v>
      </c>
      <c r="F61" s="120">
        <v>19.9516304672711</v>
      </c>
      <c r="G61" s="104">
        <v>378.0</v>
      </c>
      <c r="H61" s="104">
        <v>19.55</v>
      </c>
      <c r="I61" s="104">
        <v>23.376</v>
      </c>
      <c r="J61" s="112">
        <v>3.8260000000000005</v>
      </c>
      <c r="K61" s="104">
        <v>22.669</v>
      </c>
      <c r="L61" s="111">
        <v>3.1189999999999998</v>
      </c>
      <c r="M61" s="108">
        <v>35.43570041354626</v>
      </c>
      <c r="N61" s="121"/>
      <c r="O61" s="121">
        <v>86.7016181882341</v>
      </c>
      <c r="P61" s="112">
        <v>18.030583403823336</v>
      </c>
      <c r="Q61" s="110">
        <v>81.96941659617667</v>
      </c>
      <c r="R61" s="113"/>
    </row>
    <row r="62" ht="22.5" customHeight="1">
      <c r="A62" s="104">
        <v>21.0</v>
      </c>
      <c r="B62" s="104">
        <v>1.0</v>
      </c>
      <c r="C62" s="122" t="s">
        <v>523</v>
      </c>
      <c r="D62" s="118" t="s">
        <v>530</v>
      </c>
      <c r="E62" s="119">
        <v>20.026</v>
      </c>
      <c r="F62" s="120">
        <v>19.749710272431898</v>
      </c>
      <c r="G62" s="104">
        <v>371.0</v>
      </c>
      <c r="H62" s="104">
        <v>18.685</v>
      </c>
      <c r="I62" s="104">
        <v>27.62</v>
      </c>
      <c r="J62" s="112">
        <v>8.935000000000002</v>
      </c>
      <c r="K62" s="104">
        <v>25.318</v>
      </c>
      <c r="L62" s="111">
        <v>6.633000000000003</v>
      </c>
      <c r="M62" s="108">
        <v>116.55867191192678</v>
      </c>
      <c r="N62" s="109">
        <v>91.01309879564072</v>
      </c>
      <c r="O62" s="121">
        <v>77.21628060215924</v>
      </c>
      <c r="P62" s="112">
        <v>43.49510563404244</v>
      </c>
      <c r="Q62" s="110">
        <v>56.50489436595756</v>
      </c>
      <c r="R62" s="112">
        <v>63.148734249212765</v>
      </c>
    </row>
    <row r="63" ht="22.5" customHeight="1">
      <c r="A63" s="104">
        <v>21.0</v>
      </c>
      <c r="B63" s="104">
        <v>2.0</v>
      </c>
      <c r="C63" s="122" t="s">
        <v>523</v>
      </c>
      <c r="D63" s="118" t="s">
        <v>531</v>
      </c>
      <c r="E63" s="119">
        <v>20.055</v>
      </c>
      <c r="F63" s="120">
        <v>19.775874738102367</v>
      </c>
      <c r="G63" s="104">
        <v>501.0</v>
      </c>
      <c r="H63" s="104">
        <v>19.028</v>
      </c>
      <c r="I63" s="104">
        <v>26.534</v>
      </c>
      <c r="J63" s="112">
        <v>7.506</v>
      </c>
      <c r="K63" s="104">
        <v>24.863</v>
      </c>
      <c r="L63" s="111">
        <v>5.835000000000001</v>
      </c>
      <c r="M63" s="108">
        <v>84.49689442967939</v>
      </c>
      <c r="N63" s="121"/>
      <c r="O63" s="121">
        <v>79.63778013861487</v>
      </c>
      <c r="P63" s="112">
        <v>37.04981229201959</v>
      </c>
      <c r="Q63" s="110">
        <v>62.95018770798041</v>
      </c>
      <c r="R63" s="113"/>
    </row>
    <row r="64" ht="22.5" customHeight="1">
      <c r="A64" s="104">
        <v>21.0</v>
      </c>
      <c r="B64" s="104">
        <v>3.0</v>
      </c>
      <c r="C64" s="122" t="s">
        <v>523</v>
      </c>
      <c r="D64" s="118" t="s">
        <v>532</v>
      </c>
      <c r="E64" s="119">
        <v>20.084</v>
      </c>
      <c r="F64" s="120">
        <v>19.796140031961645</v>
      </c>
      <c r="G64" s="104">
        <v>365.0</v>
      </c>
      <c r="H64" s="104">
        <v>19.207</v>
      </c>
      <c r="I64" s="104">
        <v>25.415</v>
      </c>
      <c r="J64" s="112">
        <v>6.207999999999998</v>
      </c>
      <c r="K64" s="104">
        <v>23.99</v>
      </c>
      <c r="L64" s="111">
        <v>4.782999999999998</v>
      </c>
      <c r="M64" s="108">
        <v>71.98373004531602</v>
      </c>
      <c r="N64" s="121"/>
      <c r="O64" s="121">
        <v>80.51375588995286</v>
      </c>
      <c r="P64" s="112">
        <v>30.008879326299674</v>
      </c>
      <c r="Q64" s="110">
        <v>69.99112067370032</v>
      </c>
      <c r="R64" s="113"/>
    </row>
    <row r="65" ht="22.5" customHeight="1">
      <c r="A65" s="104">
        <v>22.0</v>
      </c>
      <c r="B65" s="104">
        <v>1.0</v>
      </c>
      <c r="C65" s="122" t="s">
        <v>523</v>
      </c>
      <c r="D65" s="118" t="s">
        <v>533</v>
      </c>
      <c r="E65" s="119">
        <v>20.095</v>
      </c>
      <c r="F65" s="120">
        <v>19.709763709317873</v>
      </c>
      <c r="G65" s="104">
        <v>552.0</v>
      </c>
      <c r="H65" s="104">
        <v>19.597</v>
      </c>
      <c r="I65" s="104">
        <v>25.546</v>
      </c>
      <c r="J65" s="112">
        <v>5.948999999999998</v>
      </c>
      <c r="K65" s="104">
        <v>24.129</v>
      </c>
      <c r="L65" s="111">
        <v>4.532</v>
      </c>
      <c r="M65" s="108">
        <v>71.89330226876872</v>
      </c>
      <c r="N65" s="109">
        <v>85.08693259436198</v>
      </c>
      <c r="O65" s="121">
        <v>80.7929292929293</v>
      </c>
      <c r="P65" s="112">
        <v>28.46001527749753</v>
      </c>
      <c r="Q65" s="110">
        <v>71.53998472250247</v>
      </c>
      <c r="R65" s="112">
        <v>72.7053357164077</v>
      </c>
    </row>
    <row r="66" ht="22.5" customHeight="1">
      <c r="A66" s="104">
        <v>22.0</v>
      </c>
      <c r="B66" s="104">
        <v>2.0</v>
      </c>
      <c r="C66" s="122" t="s">
        <v>523</v>
      </c>
      <c r="D66" s="118" t="s">
        <v>534</v>
      </c>
      <c r="E66" s="119">
        <v>20.153</v>
      </c>
      <c r="F66" s="120">
        <v>19.695750422003773</v>
      </c>
      <c r="G66" s="104">
        <v>445.0</v>
      </c>
      <c r="H66" s="104">
        <v>18.908</v>
      </c>
      <c r="I66" s="104">
        <v>25.83</v>
      </c>
      <c r="J66" s="112">
        <v>6.921999999999997</v>
      </c>
      <c r="K66" s="104">
        <v>23.342</v>
      </c>
      <c r="L66" s="111">
        <v>4.4339999999999975</v>
      </c>
      <c r="M66" s="108">
        <v>126.32166567364939</v>
      </c>
      <c r="N66" s="121"/>
      <c r="O66" s="121">
        <v>79.94919989839978</v>
      </c>
      <c r="P66" s="112">
        <v>28.15846876616907</v>
      </c>
      <c r="Q66" s="110">
        <v>71.84153123383093</v>
      </c>
      <c r="R66" s="113"/>
    </row>
    <row r="67" ht="22.5" customHeight="1">
      <c r="A67" s="104">
        <v>22.0</v>
      </c>
      <c r="B67" s="104">
        <v>3.0</v>
      </c>
      <c r="C67" s="122" t="s">
        <v>523</v>
      </c>
      <c r="D67" s="118" t="s">
        <v>535</v>
      </c>
      <c r="E67" s="119">
        <v>20.464</v>
      </c>
      <c r="F67" s="120">
        <v>20.14170015948963</v>
      </c>
      <c r="G67" s="104">
        <v>522.0</v>
      </c>
      <c r="H67" s="104">
        <v>18.465</v>
      </c>
      <c r="I67" s="104">
        <v>23.81</v>
      </c>
      <c r="J67" s="112">
        <v>5.344999999999999</v>
      </c>
      <c r="K67" s="104">
        <v>22.661</v>
      </c>
      <c r="L67" s="111">
        <v>4.1960000000000015</v>
      </c>
      <c r="M67" s="108">
        <v>57.04582984066782</v>
      </c>
      <c r="N67" s="121"/>
      <c r="O67" s="121">
        <v>82.45391938424143</v>
      </c>
      <c r="P67" s="112">
        <v>25.265508807110294</v>
      </c>
      <c r="Q67" s="110">
        <v>74.7344911928897</v>
      </c>
      <c r="R67" s="113"/>
    </row>
    <row r="68" ht="22.5" customHeight="1">
      <c r="A68" s="104">
        <v>23.0</v>
      </c>
      <c r="B68" s="104">
        <v>1.0</v>
      </c>
      <c r="C68" s="122" t="s">
        <v>523</v>
      </c>
      <c r="D68" s="118" t="s">
        <v>536</v>
      </c>
      <c r="E68" s="119">
        <v>20.129</v>
      </c>
      <c r="F68" s="120">
        <v>19.820143392642944</v>
      </c>
      <c r="G68" s="104">
        <v>707.0</v>
      </c>
      <c r="H68" s="104">
        <v>22.982</v>
      </c>
      <c r="I68" s="104">
        <v>29.993</v>
      </c>
      <c r="J68" s="112">
        <v>7.010999999999999</v>
      </c>
      <c r="K68" s="104">
        <v>28.478</v>
      </c>
      <c r="L68" s="111">
        <v>5.496000000000002</v>
      </c>
      <c r="M68" s="108">
        <v>76.43738846825656</v>
      </c>
      <c r="N68" s="109">
        <v>79.80781996252027</v>
      </c>
      <c r="O68" s="121">
        <v>82.10243134866249</v>
      </c>
      <c r="P68" s="112">
        <v>33.77411000438211</v>
      </c>
      <c r="Q68" s="110">
        <v>66.22588999561789</v>
      </c>
      <c r="R68" s="112">
        <v>65.19983968662997</v>
      </c>
    </row>
    <row r="69" ht="22.5" customHeight="1">
      <c r="A69" s="104">
        <v>23.0</v>
      </c>
      <c r="B69" s="104">
        <v>2.0</v>
      </c>
      <c r="C69" s="122" t="s">
        <v>523</v>
      </c>
      <c r="D69" s="118" t="s">
        <v>537</v>
      </c>
      <c r="E69" s="119">
        <v>20.024</v>
      </c>
      <c r="F69" s="120">
        <v>19.696754860312858</v>
      </c>
      <c r="G69" s="104">
        <v>582.0</v>
      </c>
      <c r="H69" s="104">
        <v>19.077</v>
      </c>
      <c r="I69" s="104">
        <v>25.915</v>
      </c>
      <c r="J69" s="112">
        <v>6.837999999999997</v>
      </c>
      <c r="K69" s="104">
        <v>24.449</v>
      </c>
      <c r="L69" s="111">
        <v>5.372</v>
      </c>
      <c r="M69" s="108">
        <v>74.42850410621965</v>
      </c>
      <c r="N69" s="121"/>
      <c r="O69" s="121">
        <v>81.89716492226403</v>
      </c>
      <c r="P69" s="112">
        <v>33.30216408589362</v>
      </c>
      <c r="Q69" s="110">
        <v>66.69783591410638</v>
      </c>
      <c r="R69" s="113"/>
    </row>
    <row r="70" ht="22.5" customHeight="1">
      <c r="A70" s="104">
        <v>23.0</v>
      </c>
      <c r="B70" s="104">
        <v>3.0</v>
      </c>
      <c r="C70" s="122" t="s">
        <v>523</v>
      </c>
      <c r="D70" s="118" t="s">
        <v>538</v>
      </c>
      <c r="E70" s="119">
        <v>20.272</v>
      </c>
      <c r="F70" s="120">
        <v>19.94183053557154</v>
      </c>
      <c r="G70" s="104">
        <v>509.0</v>
      </c>
      <c r="H70" s="104">
        <v>18.609</v>
      </c>
      <c r="I70" s="104">
        <v>26.376</v>
      </c>
      <c r="J70" s="112">
        <v>7.7669999999999995</v>
      </c>
      <c r="K70" s="104">
        <v>24.61</v>
      </c>
      <c r="L70" s="111">
        <v>6.000999999999998</v>
      </c>
      <c r="M70" s="108">
        <v>88.55756731308456</v>
      </c>
      <c r="N70" s="121"/>
      <c r="O70" s="121">
        <v>80.62468257998985</v>
      </c>
      <c r="P70" s="112">
        <v>37.32420684983437</v>
      </c>
      <c r="Q70" s="110">
        <v>62.67579315016563</v>
      </c>
      <c r="R70" s="113"/>
    </row>
    <row r="71" ht="22.5" customHeight="1">
      <c r="A71" s="104">
        <v>24.0</v>
      </c>
      <c r="B71" s="104">
        <v>1.0</v>
      </c>
      <c r="C71" s="122" t="s">
        <v>523</v>
      </c>
      <c r="D71" s="118" t="s">
        <v>539</v>
      </c>
      <c r="E71" s="119">
        <v>20.081</v>
      </c>
      <c r="F71" s="120">
        <v>19.751079950062422</v>
      </c>
      <c r="G71" s="104">
        <v>798.0</v>
      </c>
      <c r="H71" s="104">
        <v>22.036</v>
      </c>
      <c r="I71" s="104">
        <v>29.992</v>
      </c>
      <c r="J71" s="112">
        <v>7.9559999999999995</v>
      </c>
      <c r="K71" s="104">
        <v>28.139</v>
      </c>
      <c r="L71" s="111">
        <v>6.102999999999998</v>
      </c>
      <c r="M71" s="108">
        <v>93.81765476546235</v>
      </c>
      <c r="N71" s="109">
        <v>92.62435333306053</v>
      </c>
      <c r="O71" s="121">
        <v>80.2751827782291</v>
      </c>
      <c r="P71" s="112">
        <v>38.492065833015765</v>
      </c>
      <c r="Q71" s="110">
        <v>61.507934166984235</v>
      </c>
      <c r="R71" s="112">
        <v>61.95673085186585</v>
      </c>
    </row>
    <row r="72" ht="22.5" customHeight="1">
      <c r="A72" s="104">
        <v>24.0</v>
      </c>
      <c r="B72" s="104">
        <v>2.0</v>
      </c>
      <c r="C72" s="122" t="s">
        <v>523</v>
      </c>
      <c r="D72" s="118" t="s">
        <v>540</v>
      </c>
      <c r="E72" s="119">
        <v>20.118</v>
      </c>
      <c r="F72" s="120">
        <v>19.788279118572927</v>
      </c>
      <c r="G72" s="104">
        <v>568.0</v>
      </c>
      <c r="H72" s="104">
        <v>18.812</v>
      </c>
      <c r="I72" s="104">
        <v>26.999</v>
      </c>
      <c r="J72" s="112">
        <v>8.186999999999998</v>
      </c>
      <c r="K72" s="104">
        <v>25.003</v>
      </c>
      <c r="L72" s="111">
        <v>6.190999999999999</v>
      </c>
      <c r="M72" s="108">
        <v>100.8677908796318</v>
      </c>
      <c r="N72" s="121"/>
      <c r="O72" s="121">
        <v>79.10591821183642</v>
      </c>
      <c r="P72" s="112">
        <v>39.54975527511238</v>
      </c>
      <c r="Q72" s="110">
        <v>60.45024472488762</v>
      </c>
      <c r="R72" s="113"/>
    </row>
    <row r="73" ht="22.5" customHeight="1">
      <c r="A73" s="104">
        <v>24.0</v>
      </c>
      <c r="B73" s="104">
        <v>3.0</v>
      </c>
      <c r="C73" s="122" t="s">
        <v>523</v>
      </c>
      <c r="D73" s="118" t="s">
        <v>541</v>
      </c>
      <c r="E73" s="119">
        <v>20.035</v>
      </c>
      <c r="F73" s="120">
        <v>19.702452254774524</v>
      </c>
      <c r="G73" s="104">
        <v>732.0</v>
      </c>
      <c r="H73" s="104">
        <v>18.724</v>
      </c>
      <c r="I73" s="104">
        <v>26.126</v>
      </c>
      <c r="J73" s="112">
        <v>7.402000000000001</v>
      </c>
      <c r="K73" s="104">
        <v>24.487</v>
      </c>
      <c r="L73" s="111">
        <v>5.762999999999998</v>
      </c>
      <c r="M73" s="108">
        <v>83.1876143540874</v>
      </c>
      <c r="N73" s="121"/>
      <c r="O73" s="121">
        <v>81.05236400610065</v>
      </c>
      <c r="P73" s="112">
        <v>36.087986336274305</v>
      </c>
      <c r="Q73" s="110">
        <v>63.912013663725695</v>
      </c>
      <c r="R73" s="113"/>
    </row>
    <row r="74" ht="22.5" customHeight="1">
      <c r="A74" s="104">
        <v>25.0</v>
      </c>
      <c r="B74" s="104">
        <v>1.0</v>
      </c>
      <c r="C74" s="122" t="s">
        <v>542</v>
      </c>
      <c r="D74" s="118" t="s">
        <v>543</v>
      </c>
      <c r="E74" s="119">
        <v>20.205</v>
      </c>
      <c r="F74" s="120">
        <v>19.898954856972583</v>
      </c>
      <c r="G74" s="104">
        <v>398.0</v>
      </c>
      <c r="H74" s="104">
        <v>19.163</v>
      </c>
      <c r="I74" s="104">
        <v>25.163</v>
      </c>
      <c r="J74" s="112">
        <v>6.0</v>
      </c>
      <c r="K74" s="104">
        <v>23.667</v>
      </c>
      <c r="L74" s="111">
        <v>4.504000000000001</v>
      </c>
      <c r="M74" s="108">
        <v>75.17982782275628</v>
      </c>
      <c r="N74" s="109">
        <v>61.11260698626841</v>
      </c>
      <c r="O74" s="121">
        <v>80.46492864706774</v>
      </c>
      <c r="P74" s="112">
        <v>28.12946579381234</v>
      </c>
      <c r="Q74" s="110">
        <v>71.87053420618766</v>
      </c>
      <c r="R74" s="112">
        <v>74.71865705236465</v>
      </c>
    </row>
    <row r="75" ht="22.5" customHeight="1">
      <c r="A75" s="104">
        <v>25.0</v>
      </c>
      <c r="B75" s="104">
        <v>2.0</v>
      </c>
      <c r="C75" s="122" t="s">
        <v>542</v>
      </c>
      <c r="D75" s="118" t="s">
        <v>544</v>
      </c>
      <c r="E75" s="119">
        <v>20.185</v>
      </c>
      <c r="F75" s="120">
        <v>19.89422814275745</v>
      </c>
      <c r="G75" s="104">
        <v>532.0</v>
      </c>
      <c r="H75" s="104">
        <v>19.291</v>
      </c>
      <c r="I75" s="104">
        <v>24.264</v>
      </c>
      <c r="J75" s="112">
        <v>4.972999999999999</v>
      </c>
      <c r="K75" s="104">
        <v>23.203</v>
      </c>
      <c r="L75" s="111">
        <v>3.911999999999999</v>
      </c>
      <c r="M75" s="108">
        <v>53.33205150692213</v>
      </c>
      <c r="N75" s="121"/>
      <c r="O75" s="121">
        <v>82.87058109543317</v>
      </c>
      <c r="P75" s="112">
        <v>23.728559161697905</v>
      </c>
      <c r="Q75" s="110">
        <v>76.2714408383021</v>
      </c>
      <c r="R75" s="113"/>
    </row>
    <row r="76" ht="22.5" customHeight="1">
      <c r="A76" s="104">
        <v>25.0</v>
      </c>
      <c r="B76" s="104">
        <v>3.0</v>
      </c>
      <c r="C76" s="122" t="s">
        <v>542</v>
      </c>
      <c r="D76" s="118" t="s">
        <v>545</v>
      </c>
      <c r="E76" s="119">
        <v>20.138</v>
      </c>
      <c r="F76" s="120">
        <v>19.844620405424838</v>
      </c>
      <c r="G76" s="104">
        <v>438.0</v>
      </c>
      <c r="H76" s="104">
        <v>19.974</v>
      </c>
      <c r="I76" s="104">
        <v>25.018</v>
      </c>
      <c r="J76" s="112">
        <v>5.0440000000000005</v>
      </c>
      <c r="K76" s="104">
        <v>23.93</v>
      </c>
      <c r="L76" s="111">
        <v>3.9559999999999995</v>
      </c>
      <c r="M76" s="108">
        <v>54.82594162912681</v>
      </c>
      <c r="N76" s="121"/>
      <c r="O76" s="121">
        <v>83.1104410834995</v>
      </c>
      <c r="P76" s="112">
        <v>23.986003887395803</v>
      </c>
      <c r="Q76" s="110">
        <v>76.01399611260419</v>
      </c>
      <c r="R76" s="113"/>
    </row>
    <row r="77" ht="22.5" customHeight="1">
      <c r="A77" s="104">
        <v>26.0</v>
      </c>
      <c r="B77" s="104">
        <v>1.0</v>
      </c>
      <c r="C77" s="122" t="s">
        <v>542</v>
      </c>
      <c r="D77" s="118" t="s">
        <v>546</v>
      </c>
      <c r="E77" s="119">
        <v>20.119</v>
      </c>
      <c r="F77" s="120">
        <v>19.977442383389096</v>
      </c>
      <c r="G77" s="104">
        <v>508.0</v>
      </c>
      <c r="H77" s="104">
        <v>20.126</v>
      </c>
      <c r="I77" s="104">
        <v>30.025</v>
      </c>
      <c r="J77" s="112">
        <v>9.898999999999997</v>
      </c>
      <c r="K77" s="104">
        <v>29.411</v>
      </c>
      <c r="L77" s="111">
        <v>9.285</v>
      </c>
      <c r="M77" s="108">
        <v>30.734665039531176</v>
      </c>
      <c r="N77" s="109">
        <v>30.88941797996286</v>
      </c>
      <c r="O77" s="121">
        <v>91.89336504633069</v>
      </c>
      <c r="P77" s="112">
        <v>50.57755907486611</v>
      </c>
      <c r="Q77" s="110">
        <v>49.42244092513389</v>
      </c>
      <c r="R77" s="112">
        <v>49.03599105959352</v>
      </c>
    </row>
    <row r="78" ht="22.5" customHeight="1">
      <c r="A78" s="104">
        <v>26.0</v>
      </c>
      <c r="B78" s="104">
        <v>2.0</v>
      </c>
      <c r="C78" s="122" t="s">
        <v>542</v>
      </c>
      <c r="D78" s="118" t="s">
        <v>547</v>
      </c>
      <c r="E78" s="119">
        <v>20.164</v>
      </c>
      <c r="F78" s="120">
        <v>20.018115758176414</v>
      </c>
      <c r="G78" s="104">
        <v>405.0</v>
      </c>
      <c r="H78" s="104">
        <v>19.561</v>
      </c>
      <c r="I78" s="104">
        <v>29.792</v>
      </c>
      <c r="J78" s="112">
        <v>10.231000000000002</v>
      </c>
      <c r="K78" s="104">
        <v>29.133</v>
      </c>
      <c r="L78" s="111">
        <v>9.572</v>
      </c>
      <c r="M78" s="108">
        <v>32.92018129782437</v>
      </c>
      <c r="N78" s="121"/>
      <c r="O78" s="121">
        <v>91.48946790456225</v>
      </c>
      <c r="P78" s="112">
        <v>52.26469157285835</v>
      </c>
      <c r="Q78" s="110">
        <v>47.73530842714165</v>
      </c>
      <c r="R78" s="113"/>
    </row>
    <row r="79" ht="22.5" customHeight="1">
      <c r="A79" s="104">
        <v>26.0</v>
      </c>
      <c r="B79" s="104">
        <v>3.0</v>
      </c>
      <c r="C79" s="122" t="s">
        <v>542</v>
      </c>
      <c r="D79" s="118" t="s">
        <v>548</v>
      </c>
      <c r="E79" s="119">
        <v>20.36</v>
      </c>
      <c r="F79" s="120">
        <v>20.19755859180214</v>
      </c>
      <c r="G79" s="104">
        <v>558.0</v>
      </c>
      <c r="H79" s="104">
        <v>19.596</v>
      </c>
      <c r="I79" s="104">
        <v>29.458</v>
      </c>
      <c r="J79" s="112">
        <v>9.861999999999998</v>
      </c>
      <c r="K79" s="104">
        <v>28.872</v>
      </c>
      <c r="L79" s="111">
        <v>9.276</v>
      </c>
      <c r="M79" s="108">
        <v>29.013407602533032</v>
      </c>
      <c r="N79" s="121"/>
      <c r="O79" s="121">
        <v>91.76133507590227</v>
      </c>
      <c r="P79" s="112">
        <v>50.049776173495</v>
      </c>
      <c r="Q79" s="110">
        <v>49.950223826505</v>
      </c>
      <c r="R79" s="113"/>
    </row>
    <row r="80" ht="22.5" customHeight="1">
      <c r="A80" s="104">
        <v>27.0</v>
      </c>
      <c r="B80" s="104">
        <v>1.0</v>
      </c>
      <c r="C80" s="122" t="s">
        <v>542</v>
      </c>
      <c r="D80" s="118" t="s">
        <v>549</v>
      </c>
      <c r="E80" s="119">
        <v>20.188</v>
      </c>
      <c r="F80" s="120">
        <v>19.945543622828787</v>
      </c>
      <c r="G80" s="104">
        <v>401.0</v>
      </c>
      <c r="H80" s="104">
        <v>19.501</v>
      </c>
      <c r="I80" s="104">
        <v>24.514</v>
      </c>
      <c r="J80" s="112">
        <v>5.012999999999998</v>
      </c>
      <c r="K80" s="104">
        <v>24.007</v>
      </c>
      <c r="L80" s="111">
        <v>4.506</v>
      </c>
      <c r="M80" s="108">
        <v>25.419211909556985</v>
      </c>
      <c r="N80" s="109">
        <v>27.459341916916628</v>
      </c>
      <c r="O80" s="121">
        <v>89.28571428571426</v>
      </c>
      <c r="P80" s="112">
        <v>25.302494108126233</v>
      </c>
      <c r="Q80" s="110">
        <v>74.69750589187376</v>
      </c>
      <c r="R80" s="112">
        <v>77.90844767543722</v>
      </c>
    </row>
    <row r="81" ht="22.5" customHeight="1">
      <c r="A81" s="104">
        <v>27.0</v>
      </c>
      <c r="B81" s="104">
        <v>2.0</v>
      </c>
      <c r="C81" s="122" t="s">
        <v>542</v>
      </c>
      <c r="D81" s="118" t="s">
        <v>550</v>
      </c>
      <c r="E81" s="119">
        <v>20.059</v>
      </c>
      <c r="F81" s="120">
        <v>19.82239844062375</v>
      </c>
      <c r="G81" s="104">
        <v>476.0</v>
      </c>
      <c r="H81" s="104">
        <v>20.305</v>
      </c>
      <c r="I81" s="104">
        <v>24.858</v>
      </c>
      <c r="J81" s="112">
        <v>4.553000000000001</v>
      </c>
      <c r="K81" s="104">
        <v>24.27</v>
      </c>
      <c r="L81" s="111">
        <v>3.965</v>
      </c>
      <c r="M81" s="108">
        <v>29.663413424026523</v>
      </c>
      <c r="N81" s="121"/>
      <c r="O81" s="121">
        <v>88.21060084968646</v>
      </c>
      <c r="P81" s="112">
        <v>22.675987552218913</v>
      </c>
      <c r="Q81" s="110">
        <v>77.32401244778109</v>
      </c>
      <c r="R81" s="113"/>
    </row>
    <row r="82" ht="22.5" customHeight="1">
      <c r="A82" s="104">
        <v>27.0</v>
      </c>
      <c r="B82" s="104">
        <v>3.0</v>
      </c>
      <c r="C82" s="122" t="s">
        <v>542</v>
      </c>
      <c r="D82" s="118" t="s">
        <v>551</v>
      </c>
      <c r="E82" s="119">
        <v>20.183</v>
      </c>
      <c r="F82" s="120">
        <v>19.930097807170206</v>
      </c>
      <c r="G82" s="104">
        <v>555.0</v>
      </c>
      <c r="H82" s="104">
        <v>18.696</v>
      </c>
      <c r="I82" s="104">
        <v>22.479</v>
      </c>
      <c r="J82" s="112">
        <v>3.7829999999999977</v>
      </c>
      <c r="K82" s="104">
        <v>21.935</v>
      </c>
      <c r="L82" s="111">
        <v>3.238999999999997</v>
      </c>
      <c r="M82" s="108">
        <v>27.295400417166384</v>
      </c>
      <c r="N82" s="121"/>
      <c r="O82" s="121">
        <v>88.82622488544236</v>
      </c>
      <c r="P82" s="112">
        <v>18.296175313343213</v>
      </c>
      <c r="Q82" s="110">
        <v>81.70382468665679</v>
      </c>
      <c r="R82" s="113"/>
    </row>
    <row r="83" ht="22.5" customHeight="1">
      <c r="A83" s="104">
        <v>28.0</v>
      </c>
      <c r="B83" s="104">
        <v>1.0</v>
      </c>
      <c r="C83" s="122" t="s">
        <v>542</v>
      </c>
      <c r="D83" s="118" t="s">
        <v>552</v>
      </c>
      <c r="E83" s="119">
        <v>20.092</v>
      </c>
      <c r="F83" s="120">
        <v>19.744533999608073</v>
      </c>
      <c r="G83" s="104">
        <v>717.0</v>
      </c>
      <c r="H83" s="104">
        <v>18.473</v>
      </c>
      <c r="I83" s="104">
        <v>26.709</v>
      </c>
      <c r="J83" s="112">
        <v>8.236</v>
      </c>
      <c r="K83" s="104">
        <v>25.056</v>
      </c>
      <c r="L83" s="111">
        <v>6.583000000000002</v>
      </c>
      <c r="M83" s="108">
        <v>83.71937266449594</v>
      </c>
      <c r="N83" s="109">
        <v>66.53670024653319</v>
      </c>
      <c r="O83" s="121">
        <v>80.53242933346627</v>
      </c>
      <c r="P83" s="112">
        <v>41.40055534069098</v>
      </c>
      <c r="Q83" s="110">
        <v>58.59944465930902</v>
      </c>
      <c r="R83" s="112">
        <v>60.03207604833029</v>
      </c>
    </row>
    <row r="84" ht="22.5" customHeight="1">
      <c r="A84" s="104">
        <v>28.0</v>
      </c>
      <c r="B84" s="104">
        <v>2.0</v>
      </c>
      <c r="C84" s="122" t="s">
        <v>542</v>
      </c>
      <c r="D84" s="118" t="s">
        <v>553</v>
      </c>
      <c r="E84" s="119">
        <v>20.036</v>
      </c>
      <c r="F84" s="120">
        <v>19.73948836514027</v>
      </c>
      <c r="G84" s="104">
        <v>716.0</v>
      </c>
      <c r="H84" s="104">
        <v>22.945</v>
      </c>
      <c r="I84" s="104">
        <v>31.02</v>
      </c>
      <c r="J84" s="112">
        <v>8.075</v>
      </c>
      <c r="K84" s="104">
        <v>29.662</v>
      </c>
      <c r="L84" s="111">
        <v>6.716999999999999</v>
      </c>
      <c r="M84" s="108">
        <v>68.79610934588428</v>
      </c>
      <c r="N84" s="121"/>
      <c r="O84" s="121">
        <v>82.65223548452357</v>
      </c>
      <c r="P84" s="112">
        <v>41.17037777722774</v>
      </c>
      <c r="Q84" s="110">
        <v>58.82962222277226</v>
      </c>
      <c r="R84" s="113"/>
    </row>
    <row r="85" ht="22.5" customHeight="1">
      <c r="A85" s="104">
        <v>28.0</v>
      </c>
      <c r="B85" s="104">
        <v>3.0</v>
      </c>
      <c r="C85" s="122" t="s">
        <v>542</v>
      </c>
      <c r="D85" s="118" t="s">
        <v>554</v>
      </c>
      <c r="E85" s="119">
        <v>20.002</v>
      </c>
      <c r="F85" s="120">
        <v>19.747479119583375</v>
      </c>
      <c r="G85" s="104">
        <v>724.0</v>
      </c>
      <c r="H85" s="104">
        <v>22.08</v>
      </c>
      <c r="I85" s="104">
        <v>29.38</v>
      </c>
      <c r="J85" s="112">
        <v>7.300000000000001</v>
      </c>
      <c r="K85" s="104">
        <v>28.45</v>
      </c>
      <c r="L85" s="111">
        <v>6.370000000000001</v>
      </c>
      <c r="M85" s="108">
        <v>47.09461872921938</v>
      </c>
      <c r="N85" s="121"/>
      <c r="O85" s="121">
        <v>86.40457825329685</v>
      </c>
      <c r="P85" s="112">
        <v>37.33283873709041</v>
      </c>
      <c r="Q85" s="110">
        <v>62.66716126290959</v>
      </c>
      <c r="R85" s="113"/>
    </row>
    <row r="86" ht="22.5" customHeight="1">
      <c r="A86" s="104">
        <v>29.0</v>
      </c>
      <c r="B86" s="104">
        <v>1.0</v>
      </c>
      <c r="C86" s="122" t="s">
        <v>542</v>
      </c>
      <c r="D86" s="118" t="s">
        <v>555</v>
      </c>
      <c r="E86" s="119">
        <v>20.034</v>
      </c>
      <c r="F86" s="120">
        <v>19.786359710087375</v>
      </c>
      <c r="G86" s="104">
        <v>545.0</v>
      </c>
      <c r="H86" s="104">
        <v>19.622</v>
      </c>
      <c r="I86" s="104">
        <v>28.398</v>
      </c>
      <c r="J86" s="112">
        <v>8.776</v>
      </c>
      <c r="K86" s="104">
        <v>27.667</v>
      </c>
      <c r="L86" s="111">
        <v>8.045000000000002</v>
      </c>
      <c r="M86" s="108">
        <v>36.94464321435154</v>
      </c>
      <c r="N86" s="109">
        <v>35.46612381746488</v>
      </c>
      <c r="O86" s="121">
        <v>87.30334254837898</v>
      </c>
      <c r="P86" s="112">
        <v>46.57247053318128</v>
      </c>
      <c r="Q86" s="110">
        <v>53.42752946681872</v>
      </c>
      <c r="R86" s="112">
        <v>56.75490518385188</v>
      </c>
    </row>
    <row r="87" ht="22.5" customHeight="1">
      <c r="A87" s="104">
        <v>29.0</v>
      </c>
      <c r="B87" s="104">
        <v>2.0</v>
      </c>
      <c r="C87" s="122" t="s">
        <v>542</v>
      </c>
      <c r="D87" s="118" t="s">
        <v>556</v>
      </c>
      <c r="E87" s="119">
        <v>20.015</v>
      </c>
      <c r="F87" s="120">
        <v>19.748504570747222</v>
      </c>
      <c r="G87" s="104">
        <v>377.0</v>
      </c>
      <c r="H87" s="104">
        <v>18.689</v>
      </c>
      <c r="I87" s="104">
        <v>26.733</v>
      </c>
      <c r="J87" s="112">
        <v>8.044</v>
      </c>
      <c r="K87" s="104">
        <v>26.05</v>
      </c>
      <c r="L87" s="111">
        <v>7.361000000000001</v>
      </c>
      <c r="M87" s="108">
        <v>34.58489717807312</v>
      </c>
      <c r="N87" s="121"/>
      <c r="O87" s="121">
        <v>87.44209466263847</v>
      </c>
      <c r="P87" s="112">
        <v>42.62673316330268</v>
      </c>
      <c r="Q87" s="110">
        <v>57.37326683669732</v>
      </c>
      <c r="R87" s="113"/>
    </row>
    <row r="88" ht="22.5" customHeight="1">
      <c r="A88" s="104">
        <v>29.0</v>
      </c>
      <c r="B88" s="104">
        <v>3.0</v>
      </c>
      <c r="C88" s="122" t="s">
        <v>542</v>
      </c>
      <c r="D88" s="118" t="s">
        <v>557</v>
      </c>
      <c r="E88" s="119">
        <v>20.113</v>
      </c>
      <c r="F88" s="120">
        <v>19.84580437496879</v>
      </c>
      <c r="G88" s="104">
        <v>550.0</v>
      </c>
      <c r="H88" s="104">
        <v>19.551</v>
      </c>
      <c r="I88" s="104">
        <v>27.227</v>
      </c>
      <c r="J88" s="112">
        <v>7.676000000000002</v>
      </c>
      <c r="K88" s="104">
        <v>26.535</v>
      </c>
      <c r="L88" s="111">
        <v>6.984000000000002</v>
      </c>
      <c r="M88" s="108">
        <v>34.86883105997</v>
      </c>
      <c r="N88" s="121"/>
      <c r="O88" s="121">
        <v>86.81479981778608</v>
      </c>
      <c r="P88" s="112">
        <v>40.53608075196039</v>
      </c>
      <c r="Q88" s="110">
        <v>59.46391924803961</v>
      </c>
      <c r="R88" s="113"/>
    </row>
    <row r="89" ht="22.5" customHeight="1">
      <c r="A89" s="104">
        <v>30.0</v>
      </c>
      <c r="B89" s="104">
        <v>1.0</v>
      </c>
      <c r="C89" s="122" t="s">
        <v>542</v>
      </c>
      <c r="D89" s="118" t="s">
        <v>558</v>
      </c>
      <c r="E89" s="119">
        <v>20.179</v>
      </c>
      <c r="F89" s="120">
        <v>20.015745809514584</v>
      </c>
      <c r="G89" s="104">
        <v>583.0</v>
      </c>
      <c r="H89" s="104">
        <v>18.939</v>
      </c>
      <c r="I89" s="104">
        <v>34.872</v>
      </c>
      <c r="J89" s="112">
        <v>15.933</v>
      </c>
      <c r="K89" s="104">
        <v>33.756</v>
      </c>
      <c r="L89" s="111">
        <v>14.817</v>
      </c>
      <c r="M89" s="108">
        <v>55.75610375055341</v>
      </c>
      <c r="N89" s="109">
        <v>60.31693118478979</v>
      </c>
      <c r="O89" s="121">
        <v>89.25518925518924</v>
      </c>
      <c r="P89" s="112">
        <v>82.93828077285586</v>
      </c>
      <c r="Q89" s="110">
        <v>17.06171922714414</v>
      </c>
      <c r="R89" s="112">
        <v>33.28208361688143</v>
      </c>
    </row>
    <row r="90" ht="22.5" customHeight="1">
      <c r="A90" s="104">
        <v>30.0</v>
      </c>
      <c r="B90" s="104">
        <v>2.0</v>
      </c>
      <c r="C90" s="122" t="s">
        <v>542</v>
      </c>
      <c r="D90" s="118" t="s">
        <v>559</v>
      </c>
      <c r="E90" s="119">
        <v>20.035</v>
      </c>
      <c r="F90" s="120">
        <v>19.87201686507937</v>
      </c>
      <c r="G90" s="104">
        <v>450.0</v>
      </c>
      <c r="H90" s="104">
        <v>20.342</v>
      </c>
      <c r="I90" s="104">
        <v>36.925</v>
      </c>
      <c r="J90" s="112">
        <v>16.583</v>
      </c>
      <c r="K90" s="104">
        <v>35.735</v>
      </c>
      <c r="L90" s="111">
        <v>15.393</v>
      </c>
      <c r="M90" s="108">
        <v>59.88320199602673</v>
      </c>
      <c r="N90" s="121"/>
      <c r="O90" s="121">
        <v>89.69793958791757</v>
      </c>
      <c r="P90" s="112">
        <v>86.35726016491657</v>
      </c>
      <c r="Q90" s="110">
        <v>13.642739835083432</v>
      </c>
      <c r="R90" s="113"/>
    </row>
    <row r="91" ht="22.5" customHeight="1">
      <c r="A91" s="104">
        <v>30.0</v>
      </c>
      <c r="B91" s="104">
        <v>3.0</v>
      </c>
      <c r="C91" s="122" t="s">
        <v>542</v>
      </c>
      <c r="D91" s="118" t="s">
        <v>560</v>
      </c>
      <c r="E91" s="119">
        <v>20.03</v>
      </c>
      <c r="F91" s="120">
        <v>19.873992211293622</v>
      </c>
      <c r="G91" s="104">
        <v>517.0</v>
      </c>
      <c r="H91" s="104">
        <v>28.438</v>
      </c>
      <c r="I91" s="104">
        <v>35.217</v>
      </c>
      <c r="J91" s="112">
        <v>6.779</v>
      </c>
      <c r="K91" s="104">
        <v>33.919</v>
      </c>
      <c r="L91" s="111">
        <v>5.480999999999998</v>
      </c>
      <c r="M91" s="108">
        <v>65.31148780778923</v>
      </c>
      <c r="N91" s="121"/>
      <c r="O91" s="121">
        <v>89.3725154732552</v>
      </c>
      <c r="P91" s="112">
        <v>30.85820821158329</v>
      </c>
      <c r="Q91" s="110">
        <v>69.14179178841671</v>
      </c>
      <c r="R91" s="113"/>
    </row>
    <row r="92" ht="22.5" customHeight="1">
      <c r="A92" s="104">
        <v>31.0</v>
      </c>
      <c r="B92" s="104">
        <v>1.0</v>
      </c>
      <c r="C92" s="42"/>
      <c r="D92" s="118">
        <v>31.1</v>
      </c>
      <c r="E92" s="104">
        <v>20.103</v>
      </c>
      <c r="F92" s="120">
        <v>19.716886006485407</v>
      </c>
      <c r="G92" s="104">
        <v>580.0</v>
      </c>
      <c r="H92" s="104">
        <v>18.736</v>
      </c>
      <c r="I92" s="104">
        <v>25.417</v>
      </c>
      <c r="J92" s="112">
        <v>6.681000000000001</v>
      </c>
      <c r="K92" s="104">
        <v>23.655</v>
      </c>
      <c r="L92" s="111">
        <v>4.9190000000000005</v>
      </c>
      <c r="M92" s="108">
        <v>89.36502444759441</v>
      </c>
      <c r="N92" s="109">
        <v>83.6194468320644</v>
      </c>
      <c r="O92" s="121">
        <v>81.42421159715157</v>
      </c>
      <c r="P92" s="112">
        <v>30.639730065325995</v>
      </c>
      <c r="Q92" s="110">
        <v>69.36026993467401</v>
      </c>
      <c r="R92" s="112">
        <v>63.88408393553873</v>
      </c>
    </row>
    <row r="93" ht="22.5" customHeight="1">
      <c r="A93" s="104">
        <v>31.0</v>
      </c>
      <c r="B93" s="104">
        <v>2.0</v>
      </c>
      <c r="C93" s="42"/>
      <c r="D93" s="118">
        <v>31.2</v>
      </c>
      <c r="E93" s="104">
        <v>20.018</v>
      </c>
      <c r="F93" s="120">
        <v>19.656649845417373</v>
      </c>
      <c r="G93" s="104">
        <v>703.0</v>
      </c>
      <c r="H93" s="104">
        <v>22.581</v>
      </c>
      <c r="I93" s="104">
        <v>30.84</v>
      </c>
      <c r="J93" s="112">
        <v>8.259</v>
      </c>
      <c r="K93" s="104">
        <v>28.986</v>
      </c>
      <c r="L93" s="111">
        <v>6.405000000000001</v>
      </c>
      <c r="M93" s="108">
        <v>94.3192260420831</v>
      </c>
      <c r="N93" s="113"/>
      <c r="O93" s="121">
        <v>80.57586837294335</v>
      </c>
      <c r="P93" s="112">
        <v>40.43939391964512</v>
      </c>
      <c r="Q93" s="110">
        <v>59.56060608035488</v>
      </c>
      <c r="R93" s="113"/>
    </row>
    <row r="94" ht="22.5" customHeight="1">
      <c r="A94" s="104">
        <v>31.0</v>
      </c>
      <c r="B94" s="104">
        <v>3.0</v>
      </c>
      <c r="C94" s="42"/>
      <c r="D94" s="118">
        <v>31.3</v>
      </c>
      <c r="E94" s="104">
        <v>12.267</v>
      </c>
      <c r="F94" s="120">
        <v>12.058220660993472</v>
      </c>
      <c r="G94" s="104">
        <v>514.0</v>
      </c>
      <c r="H94" s="104">
        <v>19.248</v>
      </c>
      <c r="I94" s="104">
        <v>23.728</v>
      </c>
      <c r="J94" s="112">
        <v>4.48</v>
      </c>
      <c r="K94" s="104">
        <v>22.918</v>
      </c>
      <c r="L94" s="111">
        <v>3.669999999999998</v>
      </c>
      <c r="M94" s="108">
        <v>67.17409000651567</v>
      </c>
      <c r="N94" s="113"/>
      <c r="O94" s="121">
        <v>81.66566002281725</v>
      </c>
      <c r="P94" s="112">
        <v>37.26862420841268</v>
      </c>
      <c r="Q94" s="110">
        <v>62.73137579158732</v>
      </c>
      <c r="R94" s="113"/>
    </row>
    <row r="95" ht="22.5" customHeight="1">
      <c r="A95" s="104">
        <v>32.0</v>
      </c>
      <c r="B95" s="104">
        <v>1.0</v>
      </c>
      <c r="C95" s="42"/>
      <c r="D95" s="118">
        <v>32.1</v>
      </c>
      <c r="E95" s="104">
        <v>20.242</v>
      </c>
      <c r="F95" s="120">
        <v>19.910474031084004</v>
      </c>
      <c r="G95" s="104">
        <v>507.0</v>
      </c>
      <c r="H95" s="104">
        <v>18.883</v>
      </c>
      <c r="I95" s="104">
        <v>22.933</v>
      </c>
      <c r="J95" s="112">
        <v>4.050000000000001</v>
      </c>
      <c r="K95" s="104">
        <v>22.116</v>
      </c>
      <c r="L95" s="111">
        <v>3.2330000000000005</v>
      </c>
      <c r="M95" s="108">
        <v>41.03367899350408</v>
      </c>
      <c r="N95" s="109">
        <v>41.35570101305877</v>
      </c>
      <c r="O95" s="121">
        <v>83.22916145807291</v>
      </c>
      <c r="P95" s="112">
        <v>19.509609899251803</v>
      </c>
      <c r="Q95" s="110">
        <v>80.4903901007482</v>
      </c>
      <c r="R95" s="112">
        <v>79.92533283549129</v>
      </c>
    </row>
    <row r="96" ht="22.5" customHeight="1">
      <c r="A96" s="104">
        <v>32.0</v>
      </c>
      <c r="B96" s="104">
        <v>2.0</v>
      </c>
      <c r="C96" s="42"/>
      <c r="D96" s="118">
        <v>32.2</v>
      </c>
      <c r="E96" s="104">
        <v>20.045</v>
      </c>
      <c r="F96" s="120">
        <v>19.71938985500025</v>
      </c>
      <c r="G96" s="104">
        <v>765.0</v>
      </c>
      <c r="H96" s="104">
        <v>18.098</v>
      </c>
      <c r="I96" s="104">
        <v>22.378</v>
      </c>
      <c r="J96" s="112">
        <v>4.280000000000001</v>
      </c>
      <c r="K96" s="104">
        <v>21.55</v>
      </c>
      <c r="L96" s="111">
        <v>3.4520000000000017</v>
      </c>
      <c r="M96" s="108">
        <v>41.9891287757082</v>
      </c>
      <c r="N96" s="113"/>
      <c r="O96" s="121">
        <v>83.57392493542014</v>
      </c>
      <c r="P96" s="112">
        <v>20.946261215295895</v>
      </c>
      <c r="Q96" s="110">
        <v>79.05373878470411</v>
      </c>
      <c r="R96" s="113"/>
    </row>
    <row r="97" ht="22.5" customHeight="1">
      <c r="A97" s="104">
        <v>32.0</v>
      </c>
      <c r="B97" s="104">
        <v>3.0</v>
      </c>
      <c r="C97" s="42"/>
      <c r="D97" s="118">
        <v>32.3</v>
      </c>
      <c r="E97" s="104">
        <v>20.058</v>
      </c>
      <c r="F97" s="120">
        <v>19.710412730414745</v>
      </c>
      <c r="G97" s="104">
        <v>562.0</v>
      </c>
      <c r="H97" s="104">
        <v>18.98</v>
      </c>
      <c r="I97" s="104">
        <v>23.035</v>
      </c>
      <c r="J97" s="112">
        <v>4.055</v>
      </c>
      <c r="K97" s="104">
        <v>22.226</v>
      </c>
      <c r="L97" s="111">
        <v>3.2459999999999987</v>
      </c>
      <c r="M97" s="108">
        <v>41.044295269964046</v>
      </c>
      <c r="N97" s="113"/>
      <c r="O97" s="121">
        <v>83.30809437741195</v>
      </c>
      <c r="P97" s="112">
        <v>19.768130378978473</v>
      </c>
      <c r="Q97" s="110">
        <v>80.23186962102153</v>
      </c>
      <c r="R97" s="113"/>
    </row>
    <row r="98" ht="22.5" customHeight="1">
      <c r="A98" s="104">
        <v>33.0</v>
      </c>
      <c r="B98" s="104">
        <v>1.0</v>
      </c>
      <c r="C98" s="42"/>
      <c r="D98" s="118">
        <v>33.1</v>
      </c>
      <c r="E98" s="104">
        <v>20.097</v>
      </c>
      <c r="F98" s="120">
        <v>19.789871092587077</v>
      </c>
      <c r="G98" s="104">
        <v>719.0</v>
      </c>
      <c r="H98" s="104">
        <v>22.676</v>
      </c>
      <c r="I98" s="104">
        <v>26.487</v>
      </c>
      <c r="J98" s="112">
        <v>3.811</v>
      </c>
      <c r="K98" s="104">
        <v>25.608</v>
      </c>
      <c r="L98" s="111">
        <v>2.932000000000002</v>
      </c>
      <c r="M98" s="108">
        <v>44.41666122470374</v>
      </c>
      <c r="N98" s="109">
        <v>43.625048863602814</v>
      </c>
      <c r="O98" s="121">
        <v>84.17313312506299</v>
      </c>
      <c r="P98" s="112">
        <v>17.60141196073037</v>
      </c>
      <c r="Q98" s="110">
        <v>82.39858803926963</v>
      </c>
      <c r="R98" s="112">
        <v>83.1924450988386</v>
      </c>
    </row>
    <row r="99" ht="22.5" customHeight="1">
      <c r="A99" s="104">
        <v>33.0</v>
      </c>
      <c r="B99" s="104">
        <v>2.0</v>
      </c>
      <c r="C99" s="42"/>
      <c r="D99" s="118">
        <v>33.2</v>
      </c>
      <c r="E99" s="104">
        <v>20.359</v>
      </c>
      <c r="F99" s="120">
        <v>20.04883112500621</v>
      </c>
      <c r="G99" s="104">
        <v>699.0</v>
      </c>
      <c r="H99" s="104">
        <v>23.061</v>
      </c>
      <c r="I99" s="104">
        <v>26.205</v>
      </c>
      <c r="J99" s="112">
        <v>3.1439999999999984</v>
      </c>
      <c r="K99" s="104">
        <v>25.46</v>
      </c>
      <c r="L99" s="111">
        <v>2.399000000000001</v>
      </c>
      <c r="M99" s="108">
        <v>37.159273543422934</v>
      </c>
      <c r="N99" s="113"/>
      <c r="O99" s="121">
        <v>86.26285023180807</v>
      </c>
      <c r="P99" s="112">
        <v>13.87130709340421</v>
      </c>
      <c r="Q99" s="110">
        <v>86.12869290659579</v>
      </c>
      <c r="R99" s="113"/>
    </row>
    <row r="100" ht="22.5" customHeight="1">
      <c r="A100" s="104">
        <v>33.0</v>
      </c>
      <c r="B100" s="104">
        <v>3.0</v>
      </c>
      <c r="C100" s="42"/>
      <c r="D100" s="118">
        <v>33.4</v>
      </c>
      <c r="E100" s="104">
        <v>20.152</v>
      </c>
      <c r="F100" s="120">
        <v>19.858329652839945</v>
      </c>
      <c r="G100" s="104">
        <v>794.0</v>
      </c>
      <c r="H100" s="104">
        <v>18.447</v>
      </c>
      <c r="I100" s="104">
        <v>22.573</v>
      </c>
      <c r="J100" s="112">
        <v>4.126000000000001</v>
      </c>
      <c r="K100" s="104">
        <v>21.594</v>
      </c>
      <c r="L100" s="111">
        <v>3.147000000000002</v>
      </c>
      <c r="M100" s="108">
        <v>49.29921182268178</v>
      </c>
      <c r="N100" s="113"/>
      <c r="O100" s="121">
        <v>83.62691162368142</v>
      </c>
      <c r="P100" s="112">
        <v>18.949945649349587</v>
      </c>
      <c r="Q100" s="110">
        <v>81.05005435065041</v>
      </c>
      <c r="R100" s="113"/>
    </row>
    <row r="101" ht="22.5" customHeight="1">
      <c r="A101" s="104">
        <v>34.0</v>
      </c>
      <c r="B101" s="104">
        <v>1.0</v>
      </c>
      <c r="C101" s="42"/>
      <c r="D101" s="118">
        <v>34.1</v>
      </c>
      <c r="E101" s="104">
        <v>20.064</v>
      </c>
      <c r="F101" s="120">
        <v>19.914275865389246</v>
      </c>
      <c r="G101" s="104">
        <v>777.0</v>
      </c>
      <c r="H101" s="104">
        <v>18.791</v>
      </c>
      <c r="I101" s="104">
        <v>34.196</v>
      </c>
      <c r="J101" s="112">
        <v>15.404999999999998</v>
      </c>
      <c r="K101" s="104">
        <v>32.984</v>
      </c>
      <c r="L101" s="111">
        <v>14.193000000000001</v>
      </c>
      <c r="M101" s="108">
        <v>60.86086223734786</v>
      </c>
      <c r="N101" s="109">
        <v>55.274700231377096</v>
      </c>
      <c r="O101" s="121">
        <v>88.45071788901824</v>
      </c>
      <c r="P101" s="112">
        <v>80.5764856544607</v>
      </c>
      <c r="Q101" s="110">
        <v>19.423514345539303</v>
      </c>
      <c r="R101" s="112">
        <v>17.104583274667906</v>
      </c>
    </row>
    <row r="102" ht="22.5" customHeight="1">
      <c r="A102" s="104">
        <v>34.0</v>
      </c>
      <c r="B102" s="104">
        <v>2.0</v>
      </c>
      <c r="C102" s="42"/>
      <c r="D102" s="118">
        <v>34.2</v>
      </c>
      <c r="E102" s="104">
        <v>20.044</v>
      </c>
      <c r="F102" s="120">
        <v>19.909295698924733</v>
      </c>
      <c r="G102" s="104">
        <v>738.0</v>
      </c>
      <c r="H102" s="104">
        <v>22.506</v>
      </c>
      <c r="I102" s="104">
        <v>38.767</v>
      </c>
      <c r="J102" s="112">
        <v>16.261000000000003</v>
      </c>
      <c r="K102" s="104">
        <v>37.596</v>
      </c>
      <c r="L102" s="111">
        <v>15.089999999999996</v>
      </c>
      <c r="M102" s="108">
        <v>58.816746594569395</v>
      </c>
      <c r="N102" s="113"/>
      <c r="O102" s="121">
        <v>89.8661855360096</v>
      </c>
      <c r="P102" s="112">
        <v>84.34066769686912</v>
      </c>
      <c r="Q102" s="110">
        <v>15.659332303130881</v>
      </c>
      <c r="R102" s="113"/>
    </row>
    <row r="103" ht="22.5" customHeight="1">
      <c r="A103" s="104">
        <v>34.0</v>
      </c>
      <c r="B103" s="104">
        <v>3.0</v>
      </c>
      <c r="C103" s="42"/>
      <c r="D103" s="118">
        <v>34.3</v>
      </c>
      <c r="E103" s="104">
        <v>20.042</v>
      </c>
      <c r="F103" s="120">
        <v>19.91483995671847</v>
      </c>
      <c r="G103" s="104">
        <v>714.0</v>
      </c>
      <c r="H103" s="104">
        <v>22.92</v>
      </c>
      <c r="I103" s="104">
        <v>39.069</v>
      </c>
      <c r="J103" s="112">
        <v>16.149</v>
      </c>
      <c r="K103" s="104">
        <v>38.15</v>
      </c>
      <c r="L103" s="111">
        <v>15.229999999999997</v>
      </c>
      <c r="M103" s="108">
        <v>46.14649186221405</v>
      </c>
      <c r="N103" s="113"/>
      <c r="O103" s="121">
        <v>91.29337227144484</v>
      </c>
      <c r="P103" s="112">
        <v>83.76909682466646</v>
      </c>
      <c r="Q103" s="110">
        <v>16.230903175333538</v>
      </c>
      <c r="R103" s="113"/>
    </row>
  </sheetData>
  <dataValidations>
    <dataValidation type="custom" allowBlank="1" showDropDown="1" sqref="F2:F103 M2:M103 O2:O103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3" max="3" width="15.63"/>
  </cols>
  <sheetData>
    <row r="1" ht="22.5" customHeight="1">
      <c r="A1" s="116" t="s">
        <v>461</v>
      </c>
      <c r="B1" s="117" t="s">
        <v>320</v>
      </c>
      <c r="C1" s="98" t="s">
        <v>161</v>
      </c>
    </row>
    <row r="2" ht="22.5" customHeight="1">
      <c r="A2" s="104">
        <f>POM!A2</f>
        <v>1</v>
      </c>
      <c r="B2" s="104">
        <f>POM!B2</f>
        <v>1</v>
      </c>
      <c r="C2" s="36">
        <v>98.9</v>
      </c>
    </row>
    <row r="3" ht="22.5" customHeight="1">
      <c r="A3" s="104">
        <f>POM!A3</f>
        <v>1</v>
      </c>
      <c r="B3" s="104">
        <f>POM!B3</f>
        <v>2</v>
      </c>
      <c r="C3" s="36">
        <v>95.83</v>
      </c>
    </row>
    <row r="4" ht="22.5" customHeight="1">
      <c r="A4" s="104">
        <f>POM!A4</f>
        <v>1</v>
      </c>
      <c r="B4" s="104">
        <f>POM!B4</f>
        <v>3</v>
      </c>
      <c r="C4" s="36">
        <v>74.02</v>
      </c>
    </row>
    <row r="5" ht="22.5" customHeight="1">
      <c r="A5" s="104">
        <f>POM!A5</f>
        <v>2</v>
      </c>
      <c r="B5" s="104">
        <f>POM!B5</f>
        <v>1</v>
      </c>
      <c r="C5" s="36">
        <v>94.81</v>
      </c>
    </row>
    <row r="6" ht="22.5" customHeight="1">
      <c r="A6" s="104">
        <f>POM!A6</f>
        <v>2</v>
      </c>
      <c r="B6" s="104">
        <f>POM!B6</f>
        <v>2</v>
      </c>
      <c r="C6" s="36">
        <v>97.94</v>
      </c>
    </row>
    <row r="7" ht="22.5" customHeight="1">
      <c r="A7" s="104">
        <f>POM!A7</f>
        <v>2</v>
      </c>
      <c r="B7" s="104">
        <f>POM!B7</f>
        <v>3</v>
      </c>
      <c r="C7" s="36">
        <v>100.13</v>
      </c>
    </row>
    <row r="8" ht="22.5" customHeight="1">
      <c r="A8" s="104">
        <f>POM!A8</f>
        <v>3</v>
      </c>
      <c r="B8" s="104">
        <f>POM!B8</f>
        <v>1</v>
      </c>
      <c r="C8" s="36">
        <v>109.12</v>
      </c>
    </row>
    <row r="9" ht="22.5" customHeight="1">
      <c r="A9" s="104">
        <f>POM!A9</f>
        <v>3</v>
      </c>
      <c r="B9" s="104">
        <f>POM!B9</f>
        <v>2</v>
      </c>
      <c r="C9" s="36">
        <v>105.98</v>
      </c>
    </row>
    <row r="10" ht="22.5" customHeight="1">
      <c r="A10" s="104">
        <f>POM!A10</f>
        <v>3</v>
      </c>
      <c r="B10" s="104">
        <f>POM!B10</f>
        <v>3</v>
      </c>
      <c r="C10" s="36">
        <v>102.14</v>
      </c>
    </row>
    <row r="11" ht="22.5" customHeight="1">
      <c r="A11" s="104">
        <f>POM!A11</f>
        <v>4</v>
      </c>
      <c r="B11" s="104">
        <f>POM!B11</f>
        <v>1</v>
      </c>
      <c r="C11" s="36">
        <v>51.66</v>
      </c>
    </row>
    <row r="12" ht="22.5" customHeight="1">
      <c r="A12" s="104">
        <f>POM!A12</f>
        <v>4</v>
      </c>
      <c r="B12" s="104">
        <f>POM!B12</f>
        <v>2</v>
      </c>
      <c r="C12" s="36">
        <v>44.8</v>
      </c>
    </row>
    <row r="13" ht="22.5" customHeight="1">
      <c r="A13" s="104">
        <f>POM!A13</f>
        <v>4</v>
      </c>
      <c r="B13" s="104">
        <f>POM!B13</f>
        <v>3</v>
      </c>
      <c r="C13" s="36">
        <v>45.43</v>
      </c>
    </row>
    <row r="14" ht="22.5" customHeight="1">
      <c r="A14" s="104">
        <f>POM!A14</f>
        <v>5</v>
      </c>
      <c r="B14" s="104">
        <f>POM!B14</f>
        <v>1</v>
      </c>
      <c r="C14" s="36">
        <v>68.2</v>
      </c>
    </row>
    <row r="15" ht="22.5" customHeight="1">
      <c r="A15" s="104">
        <f>POM!A15</f>
        <v>5</v>
      </c>
      <c r="B15" s="104">
        <f>POM!B15</f>
        <v>2</v>
      </c>
      <c r="C15" s="36">
        <v>65.28</v>
      </c>
    </row>
    <row r="16" ht="22.5" customHeight="1">
      <c r="A16" s="104">
        <f>POM!A16</f>
        <v>5</v>
      </c>
      <c r="B16" s="104">
        <f>POM!B16</f>
        <v>3</v>
      </c>
      <c r="C16" s="36">
        <v>62.68</v>
      </c>
    </row>
    <row r="17" ht="22.5" customHeight="1">
      <c r="A17" s="104">
        <f>POM!A17</f>
        <v>6</v>
      </c>
      <c r="B17" s="104">
        <f>POM!B17</f>
        <v>1</v>
      </c>
      <c r="C17" s="36">
        <v>49.92</v>
      </c>
    </row>
    <row r="18" ht="22.5" customHeight="1">
      <c r="A18" s="104">
        <f>POM!A18</f>
        <v>6</v>
      </c>
      <c r="B18" s="104">
        <f>POM!B18</f>
        <v>2</v>
      </c>
      <c r="C18" s="36">
        <v>40.38</v>
      </c>
    </row>
    <row r="19" ht="22.5" customHeight="1">
      <c r="A19" s="104">
        <f>POM!A19</f>
        <v>6</v>
      </c>
      <c r="B19" s="104">
        <f>POM!B19</f>
        <v>3</v>
      </c>
      <c r="C19" s="36">
        <v>32.71</v>
      </c>
    </row>
    <row r="20" ht="22.5" customHeight="1">
      <c r="A20" s="104">
        <f>POM!A20</f>
        <v>7</v>
      </c>
      <c r="B20" s="104">
        <f>POM!B20</f>
        <v>1</v>
      </c>
      <c r="C20" s="36">
        <v>39.0</v>
      </c>
    </row>
    <row r="21" ht="22.5" customHeight="1">
      <c r="A21" s="104">
        <f>POM!A21</f>
        <v>7</v>
      </c>
      <c r="B21" s="104">
        <f>POM!B21</f>
        <v>2</v>
      </c>
      <c r="C21" s="36">
        <v>31.61</v>
      </c>
    </row>
    <row r="22" ht="22.5" customHeight="1">
      <c r="A22" s="104">
        <f>POM!A22</f>
        <v>7</v>
      </c>
      <c r="B22" s="104">
        <f>POM!B22</f>
        <v>3</v>
      </c>
      <c r="C22" s="36">
        <v>35.28</v>
      </c>
    </row>
    <row r="23" ht="22.5" customHeight="1">
      <c r="A23" s="104">
        <f>POM!A23</f>
        <v>8</v>
      </c>
      <c r="B23" s="104">
        <f>POM!B23</f>
        <v>1</v>
      </c>
      <c r="C23" s="36">
        <v>12.38</v>
      </c>
    </row>
    <row r="24" ht="22.5" customHeight="1">
      <c r="A24" s="104">
        <f>POM!A24</f>
        <v>8</v>
      </c>
      <c r="B24" s="104">
        <f>POM!B24</f>
        <v>2</v>
      </c>
      <c r="C24" s="36">
        <v>34.34</v>
      </c>
    </row>
    <row r="25" ht="22.5" customHeight="1">
      <c r="A25" s="104">
        <f>POM!A25</f>
        <v>8</v>
      </c>
      <c r="B25" s="104">
        <f>POM!B25</f>
        <v>3</v>
      </c>
      <c r="C25" s="36">
        <v>29.24</v>
      </c>
    </row>
    <row r="26" ht="22.5" customHeight="1">
      <c r="A26" s="104">
        <f>POM!A26</f>
        <v>9</v>
      </c>
      <c r="B26" s="104">
        <f>POM!B26</f>
        <v>1</v>
      </c>
      <c r="C26" s="36">
        <v>34.84</v>
      </c>
    </row>
    <row r="27" ht="22.5" customHeight="1">
      <c r="A27" s="104">
        <f>POM!A27</f>
        <v>9</v>
      </c>
      <c r="B27" s="104">
        <f>POM!B27</f>
        <v>2</v>
      </c>
      <c r="C27" s="36">
        <v>37.87</v>
      </c>
    </row>
    <row r="28" ht="22.5" customHeight="1">
      <c r="A28" s="104">
        <f>POM!A28</f>
        <v>9</v>
      </c>
      <c r="B28" s="104">
        <f>POM!B28</f>
        <v>3</v>
      </c>
      <c r="C28" s="36">
        <v>44.61</v>
      </c>
    </row>
    <row r="29" ht="22.5" customHeight="1">
      <c r="A29" s="104">
        <f>POM!A29</f>
        <v>10</v>
      </c>
      <c r="B29" s="104">
        <f>POM!B29</f>
        <v>1</v>
      </c>
      <c r="C29" s="36">
        <v>89.61</v>
      </c>
    </row>
    <row r="30" ht="22.5" customHeight="1">
      <c r="A30" s="104">
        <f>POM!A30</f>
        <v>10</v>
      </c>
      <c r="B30" s="104">
        <f>POM!B30</f>
        <v>2</v>
      </c>
      <c r="C30" s="36">
        <v>96.02</v>
      </c>
    </row>
    <row r="31" ht="22.5" customHeight="1">
      <c r="A31" s="104">
        <f>POM!A31</f>
        <v>10</v>
      </c>
      <c r="B31" s="104">
        <f>POM!B31</f>
        <v>3</v>
      </c>
      <c r="C31" s="36">
        <v>97.31</v>
      </c>
    </row>
    <row r="32" ht="22.5" customHeight="1">
      <c r="A32" s="104">
        <f>POM!A32</f>
        <v>11</v>
      </c>
      <c r="B32" s="104">
        <f>POM!B32</f>
        <v>1</v>
      </c>
      <c r="C32" s="36">
        <v>60.15</v>
      </c>
    </row>
    <row r="33" ht="22.5" customHeight="1">
      <c r="A33" s="104">
        <f>POM!A33</f>
        <v>11</v>
      </c>
      <c r="B33" s="104">
        <f>POM!B33</f>
        <v>2</v>
      </c>
      <c r="C33" s="36">
        <v>130.89</v>
      </c>
    </row>
    <row r="34" ht="22.5" customHeight="1">
      <c r="A34" s="104">
        <f>POM!A34</f>
        <v>11</v>
      </c>
      <c r="B34" s="104">
        <f>POM!B34</f>
        <v>3</v>
      </c>
      <c r="C34" s="36">
        <v>58.37</v>
      </c>
    </row>
    <row r="35" ht="22.5" customHeight="1">
      <c r="A35" s="104">
        <f>POM!A35</f>
        <v>12</v>
      </c>
      <c r="B35" s="104">
        <f>POM!B35</f>
        <v>1</v>
      </c>
      <c r="C35" s="36">
        <v>45.15</v>
      </c>
    </row>
    <row r="36" ht="22.5" customHeight="1">
      <c r="A36" s="104">
        <f>POM!A36</f>
        <v>12</v>
      </c>
      <c r="B36" s="104">
        <f>POM!B36</f>
        <v>2</v>
      </c>
      <c r="C36" s="36">
        <v>46.4</v>
      </c>
    </row>
    <row r="37" ht="22.5" customHeight="1">
      <c r="A37" s="104">
        <f>POM!A37</f>
        <v>12</v>
      </c>
      <c r="B37" s="104">
        <f>POM!B37</f>
        <v>3</v>
      </c>
      <c r="C37" s="36">
        <v>45.36</v>
      </c>
    </row>
    <row r="38" ht="22.5" customHeight="1">
      <c r="A38" s="104">
        <f>POM!A38</f>
        <v>13</v>
      </c>
      <c r="B38" s="104">
        <f>POM!B38</f>
        <v>1</v>
      </c>
      <c r="C38" s="36">
        <v>85.44</v>
      </c>
    </row>
    <row r="39" ht="22.5" customHeight="1">
      <c r="A39" s="104">
        <f>POM!A39</f>
        <v>13</v>
      </c>
      <c r="B39" s="104">
        <f>POM!B39</f>
        <v>2</v>
      </c>
      <c r="C39" s="36">
        <v>92.85</v>
      </c>
    </row>
    <row r="40" ht="22.5" customHeight="1">
      <c r="A40" s="104">
        <f>POM!A40</f>
        <v>13</v>
      </c>
      <c r="B40" s="104">
        <f>POM!B40</f>
        <v>3</v>
      </c>
      <c r="C40" s="36">
        <v>87.45</v>
      </c>
    </row>
    <row r="41" ht="22.5" customHeight="1">
      <c r="A41" s="104">
        <f>POM!A41</f>
        <v>14</v>
      </c>
      <c r="B41" s="104">
        <f>POM!B41</f>
        <v>1</v>
      </c>
      <c r="C41" s="36">
        <v>113.43</v>
      </c>
    </row>
    <row r="42" ht="22.5" customHeight="1">
      <c r="A42" s="104">
        <f>POM!A42</f>
        <v>14</v>
      </c>
      <c r="B42" s="104">
        <f>POM!B42</f>
        <v>2</v>
      </c>
      <c r="C42" s="36">
        <v>119.03</v>
      </c>
    </row>
    <row r="43" ht="22.5" customHeight="1">
      <c r="A43" s="104">
        <f>POM!A43</f>
        <v>14</v>
      </c>
      <c r="B43" s="104">
        <f>POM!B43</f>
        <v>3</v>
      </c>
      <c r="C43" s="36">
        <v>119.89</v>
      </c>
    </row>
    <row r="44" ht="22.5" customHeight="1">
      <c r="A44" s="104">
        <f>POM!A44</f>
        <v>15</v>
      </c>
      <c r="B44" s="104">
        <f>POM!B44</f>
        <v>1</v>
      </c>
      <c r="C44" s="36">
        <v>116.95</v>
      </c>
    </row>
    <row r="45" ht="22.5" customHeight="1">
      <c r="A45" s="104">
        <f>POM!A45</f>
        <v>15</v>
      </c>
      <c r="B45" s="104">
        <f>POM!B45</f>
        <v>2</v>
      </c>
      <c r="C45" s="36">
        <v>116.97</v>
      </c>
    </row>
    <row r="46" ht="22.5" customHeight="1">
      <c r="A46" s="104">
        <f>POM!A46</f>
        <v>15</v>
      </c>
      <c r="B46" s="104">
        <f>POM!B46</f>
        <v>3</v>
      </c>
      <c r="C46" s="36">
        <v>117.59</v>
      </c>
    </row>
    <row r="47" ht="22.5" customHeight="1">
      <c r="A47" s="104">
        <f>POM!A47</f>
        <v>16</v>
      </c>
      <c r="B47" s="104">
        <f>POM!B47</f>
        <v>1</v>
      </c>
      <c r="C47" s="36">
        <v>108.13</v>
      </c>
    </row>
    <row r="48" ht="22.5" customHeight="1">
      <c r="A48" s="104">
        <f>POM!A48</f>
        <v>16</v>
      </c>
      <c r="B48" s="104">
        <f>POM!B48</f>
        <v>2</v>
      </c>
      <c r="C48" s="36">
        <v>112.36</v>
      </c>
    </row>
    <row r="49" ht="22.5" customHeight="1">
      <c r="A49" s="104">
        <f>POM!A49</f>
        <v>16</v>
      </c>
      <c r="B49" s="104">
        <f>POM!B49</f>
        <v>3</v>
      </c>
      <c r="C49" s="36">
        <v>113.15</v>
      </c>
    </row>
    <row r="50" ht="22.5" customHeight="1">
      <c r="A50" s="104">
        <f>POM!A50</f>
        <v>17</v>
      </c>
      <c r="B50" s="104">
        <f>POM!B50</f>
        <v>1</v>
      </c>
      <c r="C50" s="36">
        <v>124.74</v>
      </c>
    </row>
    <row r="51" ht="22.5" customHeight="1">
      <c r="A51" s="104">
        <f>POM!A51</f>
        <v>17</v>
      </c>
      <c r="B51" s="104">
        <f>POM!B51</f>
        <v>2</v>
      </c>
      <c r="C51" s="36">
        <v>127.22</v>
      </c>
    </row>
    <row r="52" ht="22.5" customHeight="1">
      <c r="A52" s="104">
        <f>POM!A52</f>
        <v>17</v>
      </c>
      <c r="B52" s="104">
        <f>POM!B52</f>
        <v>3</v>
      </c>
      <c r="C52" s="36">
        <v>96.62</v>
      </c>
    </row>
    <row r="53" ht="22.5" customHeight="1">
      <c r="A53" s="104">
        <f>POM!A53</f>
        <v>18</v>
      </c>
      <c r="B53" s="104">
        <f>POM!B53</f>
        <v>1</v>
      </c>
      <c r="C53" s="36">
        <v>122.94</v>
      </c>
    </row>
    <row r="54" ht="22.5" customHeight="1">
      <c r="A54" s="104">
        <f>POM!A54</f>
        <v>18</v>
      </c>
      <c r="B54" s="104">
        <f>POM!B54</f>
        <v>2</v>
      </c>
      <c r="C54" s="36">
        <v>129.92</v>
      </c>
    </row>
    <row r="55" ht="22.5" customHeight="1">
      <c r="A55" s="104">
        <f>POM!A55</f>
        <v>18</v>
      </c>
      <c r="B55" s="104">
        <f>POM!B55</f>
        <v>3</v>
      </c>
      <c r="C55" s="36">
        <v>116.91</v>
      </c>
    </row>
    <row r="56" ht="22.5" customHeight="1">
      <c r="A56" s="104">
        <f>POM!A56</f>
        <v>19</v>
      </c>
      <c r="B56" s="104">
        <f>POM!B56</f>
        <v>1</v>
      </c>
      <c r="C56" s="36">
        <v>103.11</v>
      </c>
    </row>
    <row r="57" ht="22.5" customHeight="1">
      <c r="A57" s="104">
        <f>POM!A57</f>
        <v>19</v>
      </c>
      <c r="B57" s="104">
        <f>POM!B57</f>
        <v>2</v>
      </c>
      <c r="C57" s="36">
        <v>95.89</v>
      </c>
    </row>
    <row r="58" ht="22.5" customHeight="1">
      <c r="A58" s="104">
        <f>POM!A58</f>
        <v>19</v>
      </c>
      <c r="B58" s="104">
        <f>POM!B58</f>
        <v>3</v>
      </c>
      <c r="C58" s="36">
        <v>98.28</v>
      </c>
    </row>
    <row r="59" ht="22.5" customHeight="1">
      <c r="A59" s="104">
        <f>POM!A59</f>
        <v>20</v>
      </c>
      <c r="B59" s="104">
        <f>POM!B59</f>
        <v>1</v>
      </c>
      <c r="C59" s="36">
        <v>104.69</v>
      </c>
    </row>
    <row r="60" ht="22.5" customHeight="1">
      <c r="A60" s="104">
        <f>POM!A60</f>
        <v>20</v>
      </c>
      <c r="B60" s="104">
        <f>POM!B60</f>
        <v>2</v>
      </c>
      <c r="C60" s="36">
        <v>99.18</v>
      </c>
    </row>
    <row r="61" ht="22.5" customHeight="1">
      <c r="A61" s="104">
        <f>POM!A61</f>
        <v>20</v>
      </c>
      <c r="B61" s="104">
        <f>POM!B61</f>
        <v>3</v>
      </c>
      <c r="C61" s="36">
        <v>97.55</v>
      </c>
    </row>
    <row r="62" ht="22.5" customHeight="1">
      <c r="A62" s="104">
        <f>POM!A62</f>
        <v>21</v>
      </c>
      <c r="B62" s="104">
        <f>POM!B62</f>
        <v>1</v>
      </c>
      <c r="C62" s="36">
        <v>111.28</v>
      </c>
    </row>
    <row r="63" ht="22.5" customHeight="1">
      <c r="A63" s="104">
        <f>POM!A63</f>
        <v>21</v>
      </c>
      <c r="B63" s="104">
        <f>POM!B63</f>
        <v>2</v>
      </c>
      <c r="C63" s="36">
        <v>119.13</v>
      </c>
    </row>
    <row r="64" ht="22.5" customHeight="1">
      <c r="A64" s="104">
        <f>POM!A64</f>
        <v>21</v>
      </c>
      <c r="B64" s="104">
        <f>POM!B64</f>
        <v>3</v>
      </c>
      <c r="C64" s="36">
        <v>122.88</v>
      </c>
    </row>
    <row r="65" ht="22.5" customHeight="1">
      <c r="A65" s="104">
        <f>POM!A65</f>
        <v>22</v>
      </c>
      <c r="B65" s="104">
        <f>POM!B65</f>
        <v>1</v>
      </c>
      <c r="C65" s="36">
        <v>120.18</v>
      </c>
    </row>
    <row r="66" ht="22.5" customHeight="1">
      <c r="A66" s="104">
        <f>POM!A66</f>
        <v>22</v>
      </c>
      <c r="B66" s="104">
        <f>POM!B66</f>
        <v>2</v>
      </c>
      <c r="C66" s="36">
        <v>74.19</v>
      </c>
    </row>
    <row r="67" ht="22.5" customHeight="1">
      <c r="A67" s="104">
        <f>POM!A67</f>
        <v>22</v>
      </c>
      <c r="B67" s="104">
        <f>POM!B67</f>
        <v>3</v>
      </c>
      <c r="C67" s="36">
        <v>118.41</v>
      </c>
    </row>
    <row r="68" ht="22.5" customHeight="1">
      <c r="A68" s="104">
        <f>POM!A68</f>
        <v>23</v>
      </c>
      <c r="B68" s="104">
        <f>POM!B68</f>
        <v>1</v>
      </c>
      <c r="C68" s="36">
        <v>102.54</v>
      </c>
    </row>
    <row r="69" ht="22.5" customHeight="1">
      <c r="A69" s="104">
        <f>POM!A69</f>
        <v>23</v>
      </c>
      <c r="B69" s="104">
        <f>POM!B69</f>
        <v>2</v>
      </c>
      <c r="C69" s="36">
        <v>106.6</v>
      </c>
    </row>
    <row r="70" ht="22.5" customHeight="1">
      <c r="A70" s="104">
        <f>POM!A70</f>
        <v>23</v>
      </c>
      <c r="B70" s="104">
        <f>POM!B70</f>
        <v>3</v>
      </c>
      <c r="C70" s="36">
        <v>105.2</v>
      </c>
    </row>
    <row r="71" ht="22.5" customHeight="1">
      <c r="A71" s="104">
        <f>POM!A71</f>
        <v>24</v>
      </c>
      <c r="B71" s="104">
        <f>POM!B71</f>
        <v>1</v>
      </c>
      <c r="C71" s="36">
        <v>103.43</v>
      </c>
    </row>
    <row r="72" ht="22.5" customHeight="1">
      <c r="A72" s="104">
        <f>POM!A72</f>
        <v>24</v>
      </c>
      <c r="B72" s="104">
        <f>POM!B72</f>
        <v>2</v>
      </c>
      <c r="C72" s="36">
        <v>108.07</v>
      </c>
    </row>
    <row r="73" ht="22.5" customHeight="1">
      <c r="A73" s="104">
        <f>POM!A73</f>
        <v>24</v>
      </c>
      <c r="B73" s="104">
        <f>POM!B73</f>
        <v>3</v>
      </c>
      <c r="C73" s="36">
        <v>106.29</v>
      </c>
    </row>
    <row r="74" ht="22.5" customHeight="1">
      <c r="A74" s="104">
        <f>POM!A74</f>
        <v>25</v>
      </c>
      <c r="B74" s="104">
        <f>POM!B74</f>
        <v>1</v>
      </c>
      <c r="C74" s="36">
        <v>120.17</v>
      </c>
    </row>
    <row r="75" ht="22.5" customHeight="1">
      <c r="A75" s="104">
        <f>POM!A75</f>
        <v>25</v>
      </c>
      <c r="B75" s="104">
        <f>POM!B75</f>
        <v>2</v>
      </c>
      <c r="C75" s="36">
        <v>117.96</v>
      </c>
    </row>
    <row r="76" ht="22.5" customHeight="1">
      <c r="A76" s="104">
        <f>POM!A76</f>
        <v>25</v>
      </c>
      <c r="B76" s="104">
        <f>POM!B76</f>
        <v>3</v>
      </c>
      <c r="C76" s="36">
        <v>114.07</v>
      </c>
    </row>
    <row r="77" ht="22.5" customHeight="1">
      <c r="A77" s="104">
        <f>POM!A77</f>
        <v>26</v>
      </c>
      <c r="B77" s="104">
        <f>POM!B77</f>
        <v>1</v>
      </c>
      <c r="C77" s="36">
        <v>50.33</v>
      </c>
    </row>
    <row r="78" ht="22.5" customHeight="1">
      <c r="A78" s="104">
        <f>POM!A78</f>
        <v>26</v>
      </c>
      <c r="B78" s="104">
        <f>POM!B78</f>
        <v>2</v>
      </c>
      <c r="C78" s="36">
        <v>52.19</v>
      </c>
    </row>
    <row r="79" ht="22.5" customHeight="1">
      <c r="A79" s="104">
        <f>POM!A79</f>
        <v>26</v>
      </c>
      <c r="B79" s="104">
        <f>POM!B79</f>
        <v>3</v>
      </c>
      <c r="C79" s="36">
        <v>53.37</v>
      </c>
    </row>
    <row r="80" ht="22.5" customHeight="1">
      <c r="A80" s="104">
        <f>POM!A80</f>
        <v>27</v>
      </c>
      <c r="B80" s="104">
        <f>POM!B80</f>
        <v>1</v>
      </c>
      <c r="C80" s="36">
        <v>81.72</v>
      </c>
    </row>
    <row r="81" ht="22.5" customHeight="1">
      <c r="A81" s="104">
        <f>POM!A81</f>
        <v>27</v>
      </c>
      <c r="B81" s="104">
        <f>POM!B81</f>
        <v>2</v>
      </c>
      <c r="C81" s="36">
        <v>88.23</v>
      </c>
    </row>
    <row r="82" ht="22.5" customHeight="1">
      <c r="A82" s="104">
        <f>POM!A82</f>
        <v>27</v>
      </c>
      <c r="B82" s="104">
        <f>POM!B82</f>
        <v>3</v>
      </c>
      <c r="C82" s="36">
        <v>84.44</v>
      </c>
    </row>
    <row r="83" ht="22.5" customHeight="1">
      <c r="A83" s="104">
        <f>POM!A83</f>
        <v>28</v>
      </c>
      <c r="B83" s="104">
        <f>POM!B83</f>
        <v>1</v>
      </c>
      <c r="C83" s="36">
        <v>110.96</v>
      </c>
    </row>
    <row r="84" ht="22.5" customHeight="1">
      <c r="A84" s="104">
        <f>POM!A84</f>
        <v>28</v>
      </c>
      <c r="B84" s="104">
        <f>POM!B84</f>
        <v>2</v>
      </c>
      <c r="C84" s="36">
        <v>104.68</v>
      </c>
    </row>
    <row r="85" ht="22.5" customHeight="1">
      <c r="A85" s="104">
        <f>POM!A85</f>
        <v>28</v>
      </c>
      <c r="B85" s="104">
        <f>POM!B85</f>
        <v>3</v>
      </c>
      <c r="C85" s="36">
        <v>88.86</v>
      </c>
    </row>
    <row r="86" ht="22.5" customHeight="1">
      <c r="A86" s="104">
        <f>POM!A86</f>
        <v>29</v>
      </c>
      <c r="B86" s="104">
        <f>POM!B86</f>
        <v>1</v>
      </c>
      <c r="C86" s="36">
        <v>90.02</v>
      </c>
    </row>
    <row r="87" ht="22.5" customHeight="1">
      <c r="A87" s="104">
        <f>POM!A87</f>
        <v>29</v>
      </c>
      <c r="B87" s="104">
        <f>POM!B87</f>
        <v>2</v>
      </c>
      <c r="C87" s="36">
        <v>90.99</v>
      </c>
    </row>
    <row r="88" ht="22.5" customHeight="1">
      <c r="A88" s="104">
        <f>POM!A88</f>
        <v>29</v>
      </c>
      <c r="B88" s="104">
        <f>POM!B88</f>
        <v>3</v>
      </c>
      <c r="C88" s="36">
        <v>96.98</v>
      </c>
    </row>
    <row r="89" ht="22.5" customHeight="1">
      <c r="A89" s="104">
        <f>POM!A89</f>
        <v>30</v>
      </c>
      <c r="B89" s="104">
        <f>POM!B89</f>
        <v>1</v>
      </c>
      <c r="C89" s="36">
        <v>51.69</v>
      </c>
    </row>
    <row r="90" ht="22.5" customHeight="1">
      <c r="A90" s="104">
        <f>POM!A90</f>
        <v>30</v>
      </c>
      <c r="B90" s="104">
        <f>POM!B90</f>
        <v>2</v>
      </c>
      <c r="C90" s="36">
        <v>43.14</v>
      </c>
    </row>
    <row r="91" ht="22.5" customHeight="1">
      <c r="A91" s="104">
        <f>POM!A91</f>
        <v>30</v>
      </c>
      <c r="B91" s="104">
        <f>POM!B91</f>
        <v>3</v>
      </c>
      <c r="C91" s="36">
        <v>40.96</v>
      </c>
    </row>
    <row r="92" ht="22.5" customHeight="1">
      <c r="A92" s="104">
        <f>POM!A92</f>
        <v>31</v>
      </c>
      <c r="B92" s="104">
        <f>POM!B92</f>
        <v>1</v>
      </c>
      <c r="C92" s="36">
        <v>96.39</v>
      </c>
    </row>
    <row r="93" ht="22.5" customHeight="1">
      <c r="A93" s="104">
        <f>POM!A93</f>
        <v>31</v>
      </c>
      <c r="B93" s="104">
        <f>POM!B93</f>
        <v>2</v>
      </c>
      <c r="C93" s="36">
        <v>99.92</v>
      </c>
    </row>
    <row r="94" ht="22.5" customHeight="1">
      <c r="A94" s="104">
        <f>POM!A94</f>
        <v>31</v>
      </c>
      <c r="B94" s="104">
        <f>POM!B94</f>
        <v>3</v>
      </c>
      <c r="C94" s="36">
        <v>116.17</v>
      </c>
    </row>
    <row r="95" ht="22.5" customHeight="1">
      <c r="A95" s="104">
        <f>POM!A95</f>
        <v>32</v>
      </c>
      <c r="B95" s="104">
        <f>POM!B95</f>
        <v>1</v>
      </c>
      <c r="C95" s="36">
        <v>126.67</v>
      </c>
    </row>
    <row r="96" ht="22.5" customHeight="1">
      <c r="A96" s="104">
        <f>POM!A96</f>
        <v>32</v>
      </c>
      <c r="B96" s="104">
        <f>POM!B96</f>
        <v>2</v>
      </c>
      <c r="C96" s="36">
        <v>122.27</v>
      </c>
    </row>
    <row r="97" ht="22.5" customHeight="1">
      <c r="A97" s="104">
        <f>POM!A97</f>
        <v>32</v>
      </c>
      <c r="B97" s="104">
        <f>POM!B97</f>
        <v>3</v>
      </c>
      <c r="C97" s="36">
        <v>125.87</v>
      </c>
    </row>
    <row r="98" ht="22.5" customHeight="1">
      <c r="A98" s="104">
        <f>POM!A98</f>
        <v>33</v>
      </c>
      <c r="B98" s="104">
        <f>POM!B98</f>
        <v>1</v>
      </c>
      <c r="C98" s="36">
        <v>113.85</v>
      </c>
    </row>
    <row r="99" ht="22.5" customHeight="1">
      <c r="A99" s="104">
        <f>POM!A99</f>
        <v>33</v>
      </c>
      <c r="B99" s="104">
        <f>POM!B99</f>
        <v>2</v>
      </c>
      <c r="C99" s="36">
        <v>100.21</v>
      </c>
    </row>
    <row r="100" ht="22.5" customHeight="1">
      <c r="A100" s="104">
        <f>POM!A100</f>
        <v>33</v>
      </c>
      <c r="B100" s="104">
        <f>POM!B100</f>
        <v>3</v>
      </c>
      <c r="C100" s="36">
        <v>114.43</v>
      </c>
    </row>
    <row r="101" ht="22.5" customHeight="1">
      <c r="A101" s="104">
        <f>POM!A101</f>
        <v>34</v>
      </c>
      <c r="B101" s="104">
        <f>POM!B101</f>
        <v>1</v>
      </c>
      <c r="C101" s="36">
        <v>54.63</v>
      </c>
    </row>
    <row r="102" ht="22.5" customHeight="1">
      <c r="A102" s="104">
        <f>POM!A102</f>
        <v>34</v>
      </c>
      <c r="B102" s="104">
        <f>POM!B102</f>
        <v>2</v>
      </c>
      <c r="C102" s="36">
        <v>42.52</v>
      </c>
    </row>
    <row r="103" ht="22.5" customHeight="1">
      <c r="A103" s="104">
        <f>POM!A103</f>
        <v>34</v>
      </c>
      <c r="B103" s="104">
        <f>POM!B103</f>
        <v>3</v>
      </c>
      <c r="C103" s="36">
        <v>40.92</v>
      </c>
    </row>
  </sheetData>
  <drawing r:id="rId1"/>
  <tableParts count="1">
    <tablePart r:id="rId3"/>
  </tableParts>
</worksheet>
</file>